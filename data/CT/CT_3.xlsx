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T_3" sheetId="1" r:id="rId4"/>
  </sheets>
  <definedNames/>
  <calcPr/>
</workbook>
</file>

<file path=xl/sharedStrings.xml><?xml version="1.0" encoding="utf-8"?>
<sst xmlns="http://schemas.openxmlformats.org/spreadsheetml/2006/main" count="556" uniqueCount="215">
  <si>
    <t>Student Counts by District and Race</t>
  </si>
  <si>
    <t>All Districts</t>
  </si>
  <si>
    <t>2024-25</t>
  </si>
  <si>
    <t>Race</t>
  </si>
  <si>
    <t>District</t>
  </si>
  <si>
    <t>District Code</t>
  </si>
  <si>
    <t>American Indian or Alaska Native</t>
  </si>
  <si>
    <t>Asian</t>
  </si>
  <si>
    <t>Black or African American</t>
  </si>
  <si>
    <t>Hispanic/Latino of any race</t>
  </si>
  <si>
    <t>Two or More Races</t>
  </si>
  <si>
    <t>White</t>
  </si>
  <si>
    <t>Total</t>
  </si>
  <si>
    <t>Native Hawaiian or Other Pacific Islander</t>
  </si>
  <si>
    <t>Achievement First Bridgeport Academy District</t>
  </si>
  <si>
    <t>*</t>
  </si>
  <si>
    <t>Achievement First Hartford Academy District</t>
  </si>
  <si>
    <t>Amistad Academy District</t>
  </si>
  <si>
    <t>Andover School District</t>
  </si>
  <si>
    <t>Ansonia School District</t>
  </si>
  <si>
    <t>Area Cooperative Educational Services</t>
  </si>
  <si>
    <t>Ashford School District</t>
  </si>
  <si>
    <t>Avon School District</t>
  </si>
  <si>
    <t>Barkhamsted School District</t>
  </si>
  <si>
    <t>Berlin School District</t>
  </si>
  <si>
    <t>Bethany School District</t>
  </si>
  <si>
    <t>Bethel School District</t>
  </si>
  <si>
    <t>Bloomfield School District</t>
  </si>
  <si>
    <t>Bolton School District</t>
  </si>
  <si>
    <t>Booker T. Washington Academy District</t>
  </si>
  <si>
    <t>Bozrah School District</t>
  </si>
  <si>
    <t>Branford School District</t>
  </si>
  <si>
    <t>Brass City Charter School District</t>
  </si>
  <si>
    <t>Bridgeport School District</t>
  </si>
  <si>
    <t>Bristol School District</t>
  </si>
  <si>
    <t>Brookfield School District</t>
  </si>
  <si>
    <t>Brooklyn School District</t>
  </si>
  <si>
    <t>Canaan School District</t>
  </si>
  <si>
    <t>Canterbury School District</t>
  </si>
  <si>
    <t>Canton School District</t>
  </si>
  <si>
    <t>Capital Preparatory Harbor School District</t>
  </si>
  <si>
    <t>Capitol Region Education Council</t>
  </si>
  <si>
    <t>Chaplin School District</t>
  </si>
  <si>
    <t>Cheshire School District</t>
  </si>
  <si>
    <t>Chester School District</t>
  </si>
  <si>
    <t>Clinton School District</t>
  </si>
  <si>
    <t>Colchester School District</t>
  </si>
  <si>
    <t>Colebrook School District</t>
  </si>
  <si>
    <t>Columbia School District</t>
  </si>
  <si>
    <t>Common Ground High School District</t>
  </si>
  <si>
    <t>Connecticut Technical Education and Career System</t>
  </si>
  <si>
    <t>Cooperative Educational Services</t>
  </si>
  <si>
    <t>Cornwall School District</t>
  </si>
  <si>
    <t>Coventry School District</t>
  </si>
  <si>
    <t>Cromwell School District</t>
  </si>
  <si>
    <t>Danbury School District</t>
  </si>
  <si>
    <t>Darien School District</t>
  </si>
  <si>
    <t>Deep River School District</t>
  </si>
  <si>
    <t>Department of Mental Health and Addiction Services</t>
  </si>
  <si>
    <t>Derby School District</t>
  </si>
  <si>
    <t>East Granby School District</t>
  </si>
  <si>
    <t>East Haddam School District</t>
  </si>
  <si>
    <t>East Hampton School District</t>
  </si>
  <si>
    <t>East Hartford School District</t>
  </si>
  <si>
    <t>East Haven School District</t>
  </si>
  <si>
    <t>East Lyme School District</t>
  </si>
  <si>
    <t>East Windsor School District</t>
  </si>
  <si>
    <t>Eastern Connecticut Regional Educational Service Center (EASTCONN)</t>
  </si>
  <si>
    <t>Eastford School District</t>
  </si>
  <si>
    <t>Easton School District</t>
  </si>
  <si>
    <t>EdAdvance</t>
  </si>
  <si>
    <t>Ellington School District</t>
  </si>
  <si>
    <t>Elm City College Preparatory School District</t>
  </si>
  <si>
    <t>Elm City Montessori School District</t>
  </si>
  <si>
    <t>Enfield School District</t>
  </si>
  <si>
    <t>Essex School District</t>
  </si>
  <si>
    <t>Explorations District</t>
  </si>
  <si>
    <t>Fairfield School District</t>
  </si>
  <si>
    <t>Farmington School District</t>
  </si>
  <si>
    <t>Franklin School District</t>
  </si>
  <si>
    <t>Glastonbury School District</t>
  </si>
  <si>
    <t>Goodwin University Educational Services (GUES)</t>
  </si>
  <si>
    <t>Granby School District</t>
  </si>
  <si>
    <t>Great Oaks Charter School District</t>
  </si>
  <si>
    <t>Greenwich School District</t>
  </si>
  <si>
    <t>Griswold School District</t>
  </si>
  <si>
    <t>Groton School District</t>
  </si>
  <si>
    <t>Guilford School District</t>
  </si>
  <si>
    <t>Hamden School District</t>
  </si>
  <si>
    <t>Hampton School District</t>
  </si>
  <si>
    <t>Hartford School District</t>
  </si>
  <si>
    <t>Hartland School District</t>
  </si>
  <si>
    <t>Hebron School District</t>
  </si>
  <si>
    <t>Highville Charter School District</t>
  </si>
  <si>
    <t>Integrated Day Charter School District</t>
  </si>
  <si>
    <t>Interdistrict School for Arts and Comm District</t>
  </si>
  <si>
    <t>Jumoke Academy District</t>
  </si>
  <si>
    <t>Kent School District</t>
  </si>
  <si>
    <t>Killingly School District</t>
  </si>
  <si>
    <t>Learn</t>
  </si>
  <si>
    <t>Lebanon School District</t>
  </si>
  <si>
    <t>Ledyard School District</t>
  </si>
  <si>
    <t>Lisbon School District</t>
  </si>
  <si>
    <t>Madison School District</t>
  </si>
  <si>
    <t>Manchester School District</t>
  </si>
  <si>
    <t>Mansfield School District</t>
  </si>
  <si>
    <t>Marlborough School District</t>
  </si>
  <si>
    <t>Meriden School District</t>
  </si>
  <si>
    <t>Middletown School District</t>
  </si>
  <si>
    <t>Milford School District</t>
  </si>
  <si>
    <t>Monroe School District</t>
  </si>
  <si>
    <t>Montville School District</t>
  </si>
  <si>
    <t>Naugatuck School District</t>
  </si>
  <si>
    <t>New Beginnings Inc Family Academy District</t>
  </si>
  <si>
    <t>New Britain School District</t>
  </si>
  <si>
    <t>New Canaan School District</t>
  </si>
  <si>
    <t>New Fairfield School District</t>
  </si>
  <si>
    <t>New Hartford School District</t>
  </si>
  <si>
    <t>New Haven School District</t>
  </si>
  <si>
    <t>New London School District</t>
  </si>
  <si>
    <t>New Milford School District</t>
  </si>
  <si>
    <t>Newington School District</t>
  </si>
  <si>
    <t>Newtown School District</t>
  </si>
  <si>
    <t>Norfolk School District</t>
  </si>
  <si>
    <t>North Branford School District</t>
  </si>
  <si>
    <t>North Canaan School District</t>
  </si>
  <si>
    <t>North Haven School District</t>
  </si>
  <si>
    <t>North Stonington School District</t>
  </si>
  <si>
    <t>Norwalk School District</t>
  </si>
  <si>
    <t>Norwich Free Academy District</t>
  </si>
  <si>
    <t>Norwich School District</t>
  </si>
  <si>
    <t>Odyssey Community School District</t>
  </si>
  <si>
    <t>Old Saybrook School District</t>
  </si>
  <si>
    <t>Orange School District</t>
  </si>
  <si>
    <t>Oxford School District</t>
  </si>
  <si>
    <t>Park City Prep Charter School District</t>
  </si>
  <si>
    <t>Plainfield School District</t>
  </si>
  <si>
    <t>Plainville School District</t>
  </si>
  <si>
    <t>Plymouth School District</t>
  </si>
  <si>
    <t>Pomfret School District</t>
  </si>
  <si>
    <t>Portland School District</t>
  </si>
  <si>
    <t>Preston School District</t>
  </si>
  <si>
    <t>Putnam School District</t>
  </si>
  <si>
    <t>Redding School District</t>
  </si>
  <si>
    <t>Regional School District 01</t>
  </si>
  <si>
    <t>Regional School District 04</t>
  </si>
  <si>
    <t>Regional School District 05</t>
  </si>
  <si>
    <t>Regional School District 07</t>
  </si>
  <si>
    <t>Regional School District 08</t>
  </si>
  <si>
    <t>Regional School District 09</t>
  </si>
  <si>
    <t>Regional School District 10</t>
  </si>
  <si>
    <t>Regional School District 11</t>
  </si>
  <si>
    <t>Regional School District 12</t>
  </si>
  <si>
    <t>Regional School District 13</t>
  </si>
  <si>
    <t>Regional School District 14</t>
  </si>
  <si>
    <t>Regional School District 15</t>
  </si>
  <si>
    <t>Regional School District 16</t>
  </si>
  <si>
    <t>Regional School District 17</t>
  </si>
  <si>
    <t>Regional School District 18</t>
  </si>
  <si>
    <t>Regional School District 19</t>
  </si>
  <si>
    <t>Regional School District 20</t>
  </si>
  <si>
    <t>Ridgefield School District</t>
  </si>
  <si>
    <t>Rocky Hill School District</t>
  </si>
  <si>
    <t>Salem School District</t>
  </si>
  <si>
    <t>Salisbury School District</t>
  </si>
  <si>
    <t>Scotland School District</t>
  </si>
  <si>
    <t>Seymour School District</t>
  </si>
  <si>
    <t>Sharon School District</t>
  </si>
  <si>
    <t>Shelton School District</t>
  </si>
  <si>
    <t>Sherman School District</t>
  </si>
  <si>
    <t>Side By Side Charter School District</t>
  </si>
  <si>
    <t>Simsbury School District</t>
  </si>
  <si>
    <t>Somers School District</t>
  </si>
  <si>
    <t>South Windsor School District</t>
  </si>
  <si>
    <t>Southington School District</t>
  </si>
  <si>
    <t>Sprague School District</t>
  </si>
  <si>
    <t>Stafford School District</t>
  </si>
  <si>
    <t>Stamford Charter School for Excellence District</t>
  </si>
  <si>
    <t>Stamford School District</t>
  </si>
  <si>
    <t>Sterling School District</t>
  </si>
  <si>
    <t>Stonington School District</t>
  </si>
  <si>
    <t>Stratford School District</t>
  </si>
  <si>
    <t>Suffield School District</t>
  </si>
  <si>
    <t>The Bridge Academy District</t>
  </si>
  <si>
    <t>The Gilbert School District</t>
  </si>
  <si>
    <t>The Woodstock Academy District</t>
  </si>
  <si>
    <t>Thomaston School District</t>
  </si>
  <si>
    <t>Thompson School District</t>
  </si>
  <si>
    <t>Tolland School District</t>
  </si>
  <si>
    <t>Torrington School District</t>
  </si>
  <si>
    <t>Trumbull School District</t>
  </si>
  <si>
    <t>Unified School District #1</t>
  </si>
  <si>
    <t>Unified School District #2</t>
  </si>
  <si>
    <t>Union School District</t>
  </si>
  <si>
    <t>Vernon School District</t>
  </si>
  <si>
    <t>Voluntown School District</t>
  </si>
  <si>
    <t>Wallingford School District</t>
  </si>
  <si>
    <t>Waterbury School District</t>
  </si>
  <si>
    <t>Waterford School District</t>
  </si>
  <si>
    <t>Watertown School District</t>
  </si>
  <si>
    <t>West Hartford School District</t>
  </si>
  <si>
    <t>West Haven School District</t>
  </si>
  <si>
    <t>Westbrook School District</t>
  </si>
  <si>
    <t>Weston School District</t>
  </si>
  <si>
    <t>Westport School District</t>
  </si>
  <si>
    <t>Wethersfield School District</t>
  </si>
  <si>
    <t>Willington School District</t>
  </si>
  <si>
    <t>Wilton School District</t>
  </si>
  <si>
    <t>Winchester School District</t>
  </si>
  <si>
    <t>Windham School District</t>
  </si>
  <si>
    <t>Windsor Locks School District</t>
  </si>
  <si>
    <t>Windsor School District</t>
  </si>
  <si>
    <t>Wolcott School District</t>
  </si>
  <si>
    <t>Woodbridge School District</t>
  </si>
  <si>
    <t>Woodstock School District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</si>
</sst>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5">
      <c r="C5" s="1" t="s">
        <v>3</v>
      </c>
    </row>
    <row r="6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</row>
    <row r="7">
      <c r="A7" s="1" t="s">
        <v>14</v>
      </c>
      <c r="B7" s="2" t="str">
        <f>"2850013"</f>
        <v>2850013</v>
      </c>
      <c r="C7" s="1" t="s">
        <v>15</v>
      </c>
      <c r="D7" s="1" t="s">
        <v>15</v>
      </c>
      <c r="E7" s="1">
        <v>570.0</v>
      </c>
      <c r="F7" s="1">
        <v>474.0</v>
      </c>
      <c r="G7" s="1">
        <v>14.0</v>
      </c>
      <c r="H7" s="1">
        <v>22.0</v>
      </c>
      <c r="I7" s="1">
        <v>1090.0</v>
      </c>
      <c r="J7" s="1">
        <v>0.0</v>
      </c>
    </row>
    <row r="8">
      <c r="A8" s="1" t="s">
        <v>16</v>
      </c>
      <c r="B8" s="2" t="str">
        <f>"2880013"</f>
        <v>2880013</v>
      </c>
      <c r="C8" s="1">
        <v>12.0</v>
      </c>
      <c r="D8" s="1" t="s">
        <v>15</v>
      </c>
      <c r="E8" s="1">
        <v>690.0</v>
      </c>
      <c r="F8" s="1">
        <v>183.0</v>
      </c>
      <c r="G8" s="1">
        <v>15.0</v>
      </c>
      <c r="H8" s="1" t="s">
        <v>15</v>
      </c>
      <c r="I8" s="1">
        <v>907.0</v>
      </c>
      <c r="J8" s="1">
        <v>0.0</v>
      </c>
    </row>
    <row r="9">
      <c r="A9" s="1" t="s">
        <v>17</v>
      </c>
      <c r="B9" s="2" t="str">
        <f>"2790013"</f>
        <v>2790013</v>
      </c>
      <c r="C9" s="1" t="s">
        <v>15</v>
      </c>
      <c r="D9" s="1">
        <v>13.0</v>
      </c>
      <c r="E9" s="1">
        <v>665.0</v>
      </c>
      <c r="F9" s="1">
        <v>393.0</v>
      </c>
      <c r="G9" s="1">
        <v>21.0</v>
      </c>
      <c r="H9" s="1" t="s">
        <v>15</v>
      </c>
      <c r="I9" s="1">
        <v>1105.0</v>
      </c>
      <c r="J9" s="1">
        <v>0.0</v>
      </c>
    </row>
    <row r="10">
      <c r="A10" s="1" t="s">
        <v>18</v>
      </c>
      <c r="B10" s="2" t="str">
        <f>"0010011"</f>
        <v>0010011</v>
      </c>
      <c r="C10" s="1">
        <v>0.0</v>
      </c>
      <c r="D10" s="1">
        <v>0.0</v>
      </c>
      <c r="E10" s="1" t="s">
        <v>15</v>
      </c>
      <c r="F10" s="1">
        <v>27.0</v>
      </c>
      <c r="G10" s="1" t="s">
        <v>15</v>
      </c>
      <c r="H10" s="1">
        <v>203.0</v>
      </c>
      <c r="I10" s="1">
        <v>239.0</v>
      </c>
      <c r="J10" s="1">
        <v>0.0</v>
      </c>
    </row>
    <row r="11">
      <c r="A11" s="1" t="s">
        <v>19</v>
      </c>
      <c r="B11" s="2" t="str">
        <f>"0020011"</f>
        <v>0020011</v>
      </c>
      <c r="C11" s="1" t="s">
        <v>15</v>
      </c>
      <c r="D11" s="1">
        <v>48.0</v>
      </c>
      <c r="E11" s="1">
        <v>522.0</v>
      </c>
      <c r="F11" s="1">
        <v>1184.0</v>
      </c>
      <c r="G11" s="1">
        <v>111.0</v>
      </c>
      <c r="H11" s="1">
        <v>533.0</v>
      </c>
      <c r="I11" s="1">
        <v>2404.0</v>
      </c>
      <c r="J11" s="1" t="s">
        <v>15</v>
      </c>
    </row>
    <row r="12">
      <c r="A12" s="1" t="s">
        <v>20</v>
      </c>
      <c r="B12" s="2" t="str">
        <f>"2440014"</f>
        <v>2440014</v>
      </c>
      <c r="C12" s="1" t="s">
        <v>15</v>
      </c>
      <c r="D12" s="1">
        <v>44.0</v>
      </c>
      <c r="E12" s="1">
        <v>567.0</v>
      </c>
      <c r="F12" s="1">
        <v>580.0</v>
      </c>
      <c r="G12" s="1">
        <v>98.0</v>
      </c>
      <c r="H12" s="1">
        <v>430.0</v>
      </c>
      <c r="I12" s="1">
        <v>1726.0</v>
      </c>
      <c r="J12" s="1" t="s">
        <v>15</v>
      </c>
    </row>
    <row r="13">
      <c r="A13" s="1" t="s">
        <v>21</v>
      </c>
      <c r="B13" s="2" t="str">
        <f>"0030011"</f>
        <v>0030011</v>
      </c>
      <c r="C13" s="1">
        <v>0.0</v>
      </c>
      <c r="D13" s="1" t="s">
        <v>15</v>
      </c>
      <c r="E13" s="1">
        <v>7.0</v>
      </c>
      <c r="F13" s="1">
        <v>33.0</v>
      </c>
      <c r="G13" s="1">
        <v>10.0</v>
      </c>
      <c r="H13" s="1">
        <v>294.0</v>
      </c>
      <c r="I13" s="1">
        <v>351.0</v>
      </c>
      <c r="J13" s="1" t="s">
        <v>15</v>
      </c>
    </row>
    <row r="14">
      <c r="A14" s="1" t="s">
        <v>22</v>
      </c>
      <c r="B14" s="2" t="str">
        <f>"0040011"</f>
        <v>0040011</v>
      </c>
      <c r="C14" s="1" t="s">
        <v>15</v>
      </c>
      <c r="D14" s="1">
        <v>552.0</v>
      </c>
      <c r="E14" s="1">
        <v>184.0</v>
      </c>
      <c r="F14" s="1">
        <v>277.0</v>
      </c>
      <c r="G14" s="1">
        <v>152.0</v>
      </c>
      <c r="H14" s="1">
        <v>1917.0</v>
      </c>
      <c r="I14" s="1">
        <v>3092.0</v>
      </c>
      <c r="J14" s="1" t="s">
        <v>15</v>
      </c>
    </row>
    <row r="15">
      <c r="A15" s="1" t="s">
        <v>23</v>
      </c>
      <c r="B15" s="2" t="str">
        <f>"0050011"</f>
        <v>0050011</v>
      </c>
      <c r="C15" s="1" t="s">
        <v>15</v>
      </c>
      <c r="D15" s="1" t="s">
        <v>15</v>
      </c>
      <c r="E15" s="1">
        <v>0.0</v>
      </c>
      <c r="F15" s="1">
        <v>12.0</v>
      </c>
      <c r="G15" s="1">
        <v>9.0</v>
      </c>
      <c r="H15" s="1">
        <v>204.0</v>
      </c>
      <c r="I15" s="1">
        <v>227.0</v>
      </c>
      <c r="J15" s="1">
        <v>0.0</v>
      </c>
    </row>
    <row r="16">
      <c r="A16" s="1" t="s">
        <v>24</v>
      </c>
      <c r="B16" s="2" t="str">
        <f>"0070011"</f>
        <v>0070011</v>
      </c>
      <c r="C16" s="1" t="s">
        <v>15</v>
      </c>
      <c r="D16" s="1">
        <v>116.0</v>
      </c>
      <c r="E16" s="1">
        <v>64.0</v>
      </c>
      <c r="F16" s="1">
        <v>367.0</v>
      </c>
      <c r="G16" s="1">
        <v>68.0</v>
      </c>
      <c r="H16" s="1">
        <v>2016.0</v>
      </c>
      <c r="I16" s="1">
        <v>2634.0</v>
      </c>
      <c r="J16" s="1" t="s">
        <v>15</v>
      </c>
    </row>
    <row r="17">
      <c r="A17" s="1" t="s">
        <v>25</v>
      </c>
      <c r="B17" s="2" t="str">
        <f>"0080011"</f>
        <v>0080011</v>
      </c>
      <c r="C17" s="1" t="s">
        <v>15</v>
      </c>
      <c r="D17" s="1">
        <v>31.0</v>
      </c>
      <c r="E17" s="1">
        <v>11.0</v>
      </c>
      <c r="F17" s="1">
        <v>26.0</v>
      </c>
      <c r="G17" s="1" t="s">
        <v>15</v>
      </c>
      <c r="H17" s="1">
        <v>351.0</v>
      </c>
      <c r="I17" s="1">
        <v>430.0</v>
      </c>
      <c r="J17" s="1">
        <v>0.0</v>
      </c>
    </row>
    <row r="18">
      <c r="A18" s="1" t="s">
        <v>26</v>
      </c>
      <c r="B18" s="2" t="str">
        <f>"0090011"</f>
        <v>0090011</v>
      </c>
      <c r="C18" s="1">
        <v>47.0</v>
      </c>
      <c r="D18" s="1">
        <v>233.0</v>
      </c>
      <c r="E18" s="1">
        <v>147.0</v>
      </c>
      <c r="F18" s="1">
        <v>908.0</v>
      </c>
      <c r="G18" s="1">
        <v>128.0</v>
      </c>
      <c r="H18" s="1">
        <v>1751.0</v>
      </c>
      <c r="I18" s="1">
        <v>3227.0</v>
      </c>
      <c r="J18" s="1">
        <v>13.0</v>
      </c>
    </row>
    <row r="19">
      <c r="A19" s="1" t="s">
        <v>27</v>
      </c>
      <c r="B19" s="2" t="str">
        <f>"0110011"</f>
        <v>0110011</v>
      </c>
      <c r="C19" s="1" t="s">
        <v>15</v>
      </c>
      <c r="D19" s="1">
        <v>34.0</v>
      </c>
      <c r="E19" s="1">
        <v>1231.0</v>
      </c>
      <c r="F19" s="1">
        <v>344.0</v>
      </c>
      <c r="G19" s="1">
        <v>88.0</v>
      </c>
      <c r="H19" s="1">
        <v>192.0</v>
      </c>
      <c r="I19" s="1">
        <v>1897.0</v>
      </c>
      <c r="J19" s="1" t="s">
        <v>15</v>
      </c>
    </row>
    <row r="20">
      <c r="A20" s="1" t="s">
        <v>28</v>
      </c>
      <c r="B20" s="2" t="str">
        <f>"0120011"</f>
        <v>0120011</v>
      </c>
      <c r="C20" s="1">
        <v>0.0</v>
      </c>
      <c r="D20" s="1">
        <v>11.0</v>
      </c>
      <c r="E20" s="1">
        <v>39.0</v>
      </c>
      <c r="F20" s="1">
        <v>76.0</v>
      </c>
      <c r="G20" s="1">
        <v>39.0</v>
      </c>
      <c r="H20" s="1">
        <v>523.0</v>
      </c>
      <c r="I20" s="1">
        <v>688.0</v>
      </c>
      <c r="J20" s="1">
        <v>0.0</v>
      </c>
    </row>
    <row r="21">
      <c r="A21" s="1" t="s">
        <v>29</v>
      </c>
      <c r="B21" s="2" t="str">
        <f>"2950013"</f>
        <v>2950013</v>
      </c>
      <c r="C21" s="1">
        <v>0.0</v>
      </c>
      <c r="D21" s="1" t="s">
        <v>15</v>
      </c>
      <c r="E21" s="1">
        <v>302.0</v>
      </c>
      <c r="F21" s="1">
        <v>75.0</v>
      </c>
      <c r="G21" s="1">
        <v>19.0</v>
      </c>
      <c r="H21" s="1" t="s">
        <v>15</v>
      </c>
      <c r="I21" s="1">
        <v>404.0</v>
      </c>
      <c r="J21" s="1" t="s">
        <v>15</v>
      </c>
    </row>
    <row r="22">
      <c r="A22" s="1" t="s">
        <v>30</v>
      </c>
      <c r="B22" s="2" t="str">
        <f>"0130011"</f>
        <v>0130011</v>
      </c>
      <c r="C22" s="1" t="s">
        <v>15</v>
      </c>
      <c r="D22" s="1" t="s">
        <v>15</v>
      </c>
      <c r="E22" s="1" t="s">
        <v>15</v>
      </c>
      <c r="F22" s="1">
        <v>19.0</v>
      </c>
      <c r="G22" s="1">
        <v>12.0</v>
      </c>
      <c r="H22" s="1">
        <v>145.0</v>
      </c>
      <c r="I22" s="1">
        <v>180.0</v>
      </c>
      <c r="J22" s="1">
        <v>0.0</v>
      </c>
    </row>
    <row r="23">
      <c r="A23" s="1" t="s">
        <v>31</v>
      </c>
      <c r="B23" s="2" t="str">
        <f>"0140011"</f>
        <v>0140011</v>
      </c>
      <c r="C23" s="1" t="s">
        <v>15</v>
      </c>
      <c r="D23" s="1">
        <v>160.0</v>
      </c>
      <c r="E23" s="1">
        <v>118.0</v>
      </c>
      <c r="F23" s="1">
        <v>443.0</v>
      </c>
      <c r="G23" s="1">
        <v>137.0</v>
      </c>
      <c r="H23" s="1">
        <v>1702.0</v>
      </c>
      <c r="I23" s="1">
        <v>2567.0</v>
      </c>
      <c r="J23" s="1" t="s">
        <v>15</v>
      </c>
    </row>
    <row r="24">
      <c r="A24" s="1" t="s">
        <v>32</v>
      </c>
      <c r="B24" s="2" t="str">
        <f>"2900013"</f>
        <v>2900013</v>
      </c>
      <c r="C24" s="1">
        <v>0.0</v>
      </c>
      <c r="D24" s="1">
        <v>6.0</v>
      </c>
      <c r="E24" s="1">
        <v>132.0</v>
      </c>
      <c r="F24" s="1">
        <v>227.0</v>
      </c>
      <c r="G24" s="1">
        <v>21.0</v>
      </c>
      <c r="H24" s="1">
        <v>15.0</v>
      </c>
      <c r="I24" s="1">
        <v>401.0</v>
      </c>
      <c r="J24" s="1">
        <v>0.0</v>
      </c>
    </row>
    <row r="25">
      <c r="A25" s="1" t="s">
        <v>33</v>
      </c>
      <c r="B25" s="2" t="str">
        <f>"0150011"</f>
        <v>0150011</v>
      </c>
      <c r="C25" s="1">
        <v>71.0</v>
      </c>
      <c r="D25" s="1">
        <v>324.0</v>
      </c>
      <c r="E25" s="1">
        <v>5349.0</v>
      </c>
      <c r="F25" s="1">
        <v>12226.0</v>
      </c>
      <c r="G25" s="1">
        <v>490.0</v>
      </c>
      <c r="H25" s="1">
        <v>1542.0</v>
      </c>
      <c r="I25" s="1">
        <v>20022.0</v>
      </c>
      <c r="J25" s="1">
        <v>20.0</v>
      </c>
    </row>
    <row r="26">
      <c r="A26" s="1" t="s">
        <v>34</v>
      </c>
      <c r="B26" s="2" t="str">
        <f>"0170011"</f>
        <v>0170011</v>
      </c>
      <c r="C26" s="1" t="s">
        <v>15</v>
      </c>
      <c r="D26" s="1">
        <v>271.0</v>
      </c>
      <c r="E26" s="1">
        <v>639.0</v>
      </c>
      <c r="F26" s="1">
        <v>2998.0</v>
      </c>
      <c r="G26" s="1">
        <v>488.0</v>
      </c>
      <c r="H26" s="1">
        <v>3306.0</v>
      </c>
      <c r="I26" s="1">
        <v>7713.0</v>
      </c>
      <c r="J26" s="1" t="s">
        <v>15</v>
      </c>
    </row>
    <row r="27">
      <c r="A27" s="1" t="s">
        <v>35</v>
      </c>
      <c r="B27" s="2" t="str">
        <f>"0180011"</f>
        <v>0180011</v>
      </c>
      <c r="C27" s="1">
        <v>24.0</v>
      </c>
      <c r="D27" s="1">
        <v>195.0</v>
      </c>
      <c r="E27" s="1">
        <v>103.0</v>
      </c>
      <c r="F27" s="1">
        <v>466.0</v>
      </c>
      <c r="G27" s="1" t="s">
        <v>15</v>
      </c>
      <c r="H27" s="1">
        <v>1731.0</v>
      </c>
      <c r="I27" s="1">
        <v>2542.0</v>
      </c>
      <c r="J27" s="1" t="s">
        <v>15</v>
      </c>
    </row>
    <row r="28">
      <c r="A28" s="1" t="s">
        <v>36</v>
      </c>
      <c r="B28" s="2" t="str">
        <f>"0190011"</f>
        <v>0190011</v>
      </c>
      <c r="C28" s="1" t="s">
        <v>15</v>
      </c>
      <c r="D28" s="1">
        <v>17.0</v>
      </c>
      <c r="E28" s="1">
        <v>18.0</v>
      </c>
      <c r="F28" s="1">
        <v>104.0</v>
      </c>
      <c r="G28" s="1">
        <v>49.0</v>
      </c>
      <c r="H28" s="1">
        <v>662.0</v>
      </c>
      <c r="I28" s="1">
        <v>852.0</v>
      </c>
      <c r="J28" s="1" t="s">
        <v>15</v>
      </c>
    </row>
    <row r="29">
      <c r="A29" s="1" t="s">
        <v>37</v>
      </c>
      <c r="B29" s="2" t="str">
        <f>"0210011"</f>
        <v>0210011</v>
      </c>
      <c r="C29" s="1" t="s">
        <v>15</v>
      </c>
      <c r="D29" s="1" t="s">
        <v>15</v>
      </c>
      <c r="E29" s="1">
        <v>0.0</v>
      </c>
      <c r="F29" s="1" t="s">
        <v>15</v>
      </c>
      <c r="G29" s="1" t="s">
        <v>15</v>
      </c>
      <c r="H29" s="1">
        <v>61.0</v>
      </c>
      <c r="I29" s="1">
        <v>70.0</v>
      </c>
      <c r="J29" s="1" t="s">
        <v>15</v>
      </c>
    </row>
    <row r="30">
      <c r="A30" s="1" t="s">
        <v>38</v>
      </c>
      <c r="B30" s="2" t="str">
        <f>"0220011"</f>
        <v>0220011</v>
      </c>
      <c r="C30" s="1">
        <v>0.0</v>
      </c>
      <c r="D30" s="1">
        <v>6.0</v>
      </c>
      <c r="E30" s="1" t="s">
        <v>15</v>
      </c>
      <c r="F30" s="1">
        <v>62.0</v>
      </c>
      <c r="G30" s="1" t="s">
        <v>15</v>
      </c>
      <c r="H30" s="1">
        <v>434.0</v>
      </c>
      <c r="I30" s="1">
        <v>512.0</v>
      </c>
      <c r="J30" s="1">
        <v>0.0</v>
      </c>
    </row>
    <row r="31">
      <c r="A31" s="1" t="s">
        <v>39</v>
      </c>
      <c r="B31" s="2" t="str">
        <f>"0230011"</f>
        <v>0230011</v>
      </c>
      <c r="C31" s="1">
        <v>0.0</v>
      </c>
      <c r="D31" s="1" t="s">
        <v>15</v>
      </c>
      <c r="E31" s="1">
        <v>83.0</v>
      </c>
      <c r="F31" s="1">
        <v>103.0</v>
      </c>
      <c r="G31" s="1">
        <v>44.0</v>
      </c>
      <c r="H31" s="1">
        <v>1177.0</v>
      </c>
      <c r="I31" s="1">
        <v>1439.0</v>
      </c>
      <c r="J31" s="1" t="s">
        <v>15</v>
      </c>
    </row>
    <row r="32">
      <c r="A32" s="1" t="s">
        <v>40</v>
      </c>
      <c r="B32" s="2" t="str">
        <f>"2970013"</f>
        <v>2970013</v>
      </c>
      <c r="C32" s="1" t="s">
        <v>15</v>
      </c>
      <c r="D32" s="1" t="s">
        <v>15</v>
      </c>
      <c r="E32" s="1">
        <v>501.0</v>
      </c>
      <c r="F32" s="1">
        <v>262.0</v>
      </c>
      <c r="G32" s="1" t="s">
        <v>15</v>
      </c>
      <c r="H32" s="1" t="s">
        <v>15</v>
      </c>
      <c r="I32" s="1">
        <v>775.0</v>
      </c>
      <c r="J32" s="1">
        <v>0.0</v>
      </c>
    </row>
    <row r="33">
      <c r="A33" s="1" t="s">
        <v>41</v>
      </c>
      <c r="B33" s="2" t="str">
        <f>"2410014"</f>
        <v>2410014</v>
      </c>
      <c r="C33" s="1" t="s">
        <v>15</v>
      </c>
      <c r="D33" s="1">
        <v>406.0</v>
      </c>
      <c r="E33" s="1">
        <v>2841.0</v>
      </c>
      <c r="F33" s="1">
        <v>4004.0</v>
      </c>
      <c r="G33" s="1">
        <v>536.0</v>
      </c>
      <c r="H33" s="1">
        <v>1281.0</v>
      </c>
      <c r="I33" s="1">
        <v>9091.0</v>
      </c>
      <c r="J33" s="1" t="s">
        <v>15</v>
      </c>
    </row>
    <row r="34">
      <c r="A34" s="1" t="s">
        <v>42</v>
      </c>
      <c r="B34" s="2" t="str">
        <f>"0240011"</f>
        <v>0240011</v>
      </c>
      <c r="C34" s="1">
        <v>0.0</v>
      </c>
      <c r="D34" s="1" t="s">
        <v>15</v>
      </c>
      <c r="E34" s="1" t="s">
        <v>15</v>
      </c>
      <c r="F34" s="1">
        <v>17.0</v>
      </c>
      <c r="G34" s="1">
        <v>7.0</v>
      </c>
      <c r="H34" s="1">
        <v>119.0</v>
      </c>
      <c r="I34" s="1">
        <v>150.0</v>
      </c>
      <c r="J34" s="1">
        <v>0.0</v>
      </c>
    </row>
    <row r="35">
      <c r="A35" s="1" t="s">
        <v>43</v>
      </c>
      <c r="B35" s="2" t="str">
        <f>"0250011"</f>
        <v>0250011</v>
      </c>
      <c r="C35" s="1" t="s">
        <v>15</v>
      </c>
      <c r="D35" s="1">
        <v>438.0</v>
      </c>
      <c r="E35" s="1">
        <v>152.0</v>
      </c>
      <c r="F35" s="1">
        <v>449.0</v>
      </c>
      <c r="G35" s="1">
        <v>172.0</v>
      </c>
      <c r="H35" s="1">
        <v>3100.0</v>
      </c>
      <c r="I35" s="1">
        <v>4317.0</v>
      </c>
      <c r="J35" s="1" t="s">
        <v>15</v>
      </c>
    </row>
    <row r="36">
      <c r="A36" s="1" t="s">
        <v>44</v>
      </c>
      <c r="B36" s="2" t="str">
        <f>"0260011"</f>
        <v>0260011</v>
      </c>
      <c r="C36" s="1">
        <v>0.0</v>
      </c>
      <c r="D36" s="1" t="s">
        <v>15</v>
      </c>
      <c r="E36" s="1">
        <v>0.0</v>
      </c>
      <c r="F36" s="1">
        <v>17.0</v>
      </c>
      <c r="G36" s="1" t="s">
        <v>15</v>
      </c>
      <c r="H36" s="1">
        <v>173.0</v>
      </c>
      <c r="I36" s="1">
        <v>198.0</v>
      </c>
      <c r="J36" s="1">
        <v>0.0</v>
      </c>
    </row>
    <row r="37">
      <c r="A37" s="1" t="s">
        <v>45</v>
      </c>
      <c r="B37" s="2" t="str">
        <f>"0270011"</f>
        <v>0270011</v>
      </c>
      <c r="C37" s="1">
        <v>0.0</v>
      </c>
      <c r="D37" s="1">
        <v>40.0</v>
      </c>
      <c r="E37" s="1">
        <v>12.0</v>
      </c>
      <c r="F37" s="1">
        <v>376.0</v>
      </c>
      <c r="G37" s="1">
        <v>33.0</v>
      </c>
      <c r="H37" s="1">
        <v>965.0</v>
      </c>
      <c r="I37" s="1">
        <v>1426.0</v>
      </c>
      <c r="J37" s="1">
        <v>0.0</v>
      </c>
    </row>
    <row r="38">
      <c r="A38" s="1" t="s">
        <v>46</v>
      </c>
      <c r="B38" s="2" t="str">
        <f>"0280011"</f>
        <v>0280011</v>
      </c>
      <c r="C38" s="1" t="s">
        <v>15</v>
      </c>
      <c r="D38" s="1">
        <v>40.0</v>
      </c>
      <c r="E38" s="1">
        <v>57.0</v>
      </c>
      <c r="F38" s="1">
        <v>201.0</v>
      </c>
      <c r="G38" s="1">
        <v>99.0</v>
      </c>
      <c r="H38" s="1">
        <v>1701.0</v>
      </c>
      <c r="I38" s="1">
        <v>2101.0</v>
      </c>
      <c r="J38" s="1" t="s">
        <v>15</v>
      </c>
    </row>
    <row r="39">
      <c r="A39" s="1" t="s">
        <v>47</v>
      </c>
      <c r="B39" s="2" t="str">
        <f>"0290011"</f>
        <v>0290011</v>
      </c>
      <c r="C39" s="1">
        <v>0.0</v>
      </c>
      <c r="D39" s="1">
        <v>0.0</v>
      </c>
      <c r="E39" s="1">
        <v>0.0</v>
      </c>
      <c r="F39" s="1" t="s">
        <v>15</v>
      </c>
      <c r="G39" s="1" t="s">
        <v>15</v>
      </c>
      <c r="H39" s="1">
        <v>55.0</v>
      </c>
      <c r="I39" s="1">
        <v>61.0</v>
      </c>
      <c r="J39" s="1">
        <v>0.0</v>
      </c>
    </row>
    <row r="40">
      <c r="A40" s="1" t="s">
        <v>48</v>
      </c>
      <c r="B40" s="2" t="str">
        <f>"0300011"</f>
        <v>0300011</v>
      </c>
      <c r="C40" s="1" t="s">
        <v>15</v>
      </c>
      <c r="D40" s="1" t="s">
        <v>15</v>
      </c>
      <c r="E40" s="1" t="s">
        <v>15</v>
      </c>
      <c r="F40" s="1">
        <v>47.0</v>
      </c>
      <c r="G40" s="1">
        <v>20.0</v>
      </c>
      <c r="H40" s="1">
        <v>370.0</v>
      </c>
      <c r="I40" s="1">
        <v>444.0</v>
      </c>
      <c r="J40" s="1">
        <v>0.0</v>
      </c>
    </row>
    <row r="41">
      <c r="A41" s="1" t="s">
        <v>49</v>
      </c>
      <c r="B41" s="2" t="str">
        <f>"2680013"</f>
        <v>2680013</v>
      </c>
      <c r="C41" s="1" t="s">
        <v>15</v>
      </c>
      <c r="D41" s="1" t="s">
        <v>15</v>
      </c>
      <c r="E41" s="1">
        <v>72.0</v>
      </c>
      <c r="F41" s="1">
        <v>103.0</v>
      </c>
      <c r="G41" s="1">
        <v>7.0</v>
      </c>
      <c r="H41" s="1">
        <v>34.0</v>
      </c>
      <c r="I41" s="1">
        <v>221.0</v>
      </c>
      <c r="J41" s="1">
        <v>0.0</v>
      </c>
    </row>
    <row r="42">
      <c r="A42" s="1" t="s">
        <v>50</v>
      </c>
      <c r="B42" s="2" t="str">
        <f>"9000016"</f>
        <v>9000016</v>
      </c>
      <c r="C42" s="1" t="s">
        <v>15</v>
      </c>
      <c r="D42" s="1">
        <v>85.0</v>
      </c>
      <c r="E42" s="1">
        <v>1405.0</v>
      </c>
      <c r="F42" s="1">
        <v>4990.0</v>
      </c>
      <c r="G42" s="1">
        <v>583.0</v>
      </c>
      <c r="H42" s="1">
        <v>4201.0</v>
      </c>
      <c r="I42" s="1">
        <v>11296.0</v>
      </c>
      <c r="J42" s="1" t="s">
        <v>15</v>
      </c>
    </row>
    <row r="43">
      <c r="A43" s="1" t="s">
        <v>51</v>
      </c>
      <c r="B43" s="2" t="str">
        <f>"2430014"</f>
        <v>2430014</v>
      </c>
      <c r="C43" s="1" t="s">
        <v>15</v>
      </c>
      <c r="D43" s="1">
        <v>34.0</v>
      </c>
      <c r="E43" s="1">
        <v>171.0</v>
      </c>
      <c r="F43" s="1">
        <v>303.0</v>
      </c>
      <c r="G43" s="1">
        <v>31.0</v>
      </c>
      <c r="H43" s="1">
        <v>213.0</v>
      </c>
      <c r="I43" s="1">
        <v>757.0</v>
      </c>
      <c r="J43" s="1" t="s">
        <v>15</v>
      </c>
    </row>
    <row r="44">
      <c r="A44" s="1" t="s">
        <v>52</v>
      </c>
      <c r="B44" s="2" t="str">
        <f>"0310011"</f>
        <v>0310011</v>
      </c>
      <c r="C44" s="1">
        <v>0.0</v>
      </c>
      <c r="D44" s="1">
        <v>0.0</v>
      </c>
      <c r="E44" s="1" t="s">
        <v>15</v>
      </c>
      <c r="F44" s="1">
        <v>6.0</v>
      </c>
      <c r="G44" s="1" t="s">
        <v>15</v>
      </c>
      <c r="H44" s="1">
        <v>76.0</v>
      </c>
      <c r="I44" s="1">
        <v>86.0</v>
      </c>
      <c r="J44" s="1">
        <v>0.0</v>
      </c>
    </row>
    <row r="45">
      <c r="A45" s="1" t="s">
        <v>53</v>
      </c>
      <c r="B45" s="2" t="str">
        <f>"0320011"</f>
        <v>0320011</v>
      </c>
      <c r="C45" s="1" t="s">
        <v>15</v>
      </c>
      <c r="D45" s="1">
        <v>19.0</v>
      </c>
      <c r="E45" s="1">
        <v>13.0</v>
      </c>
      <c r="F45" s="1">
        <v>142.0</v>
      </c>
      <c r="G45" s="1">
        <v>70.0</v>
      </c>
      <c r="H45" s="1">
        <v>1363.0</v>
      </c>
      <c r="I45" s="1">
        <v>1612.0</v>
      </c>
      <c r="J45" s="1" t="s">
        <v>15</v>
      </c>
    </row>
    <row r="46">
      <c r="A46" s="1" t="s">
        <v>54</v>
      </c>
      <c r="B46" s="2" t="str">
        <f>"0330011"</f>
        <v>0330011</v>
      </c>
      <c r="C46" s="1" t="s">
        <v>15</v>
      </c>
      <c r="D46" s="1">
        <v>95.0</v>
      </c>
      <c r="E46" s="1">
        <v>117.0</v>
      </c>
      <c r="F46" s="1">
        <v>277.0</v>
      </c>
      <c r="G46" s="1">
        <v>110.0</v>
      </c>
      <c r="H46" s="1">
        <v>1236.0</v>
      </c>
      <c r="I46" s="1">
        <v>1841.0</v>
      </c>
      <c r="J46" s="1" t="s">
        <v>15</v>
      </c>
    </row>
    <row r="47">
      <c r="A47" s="1" t="s">
        <v>55</v>
      </c>
      <c r="B47" s="2" t="str">
        <f>"0340011"</f>
        <v>0340011</v>
      </c>
      <c r="C47" s="1" t="s">
        <v>15</v>
      </c>
      <c r="D47" s="1">
        <v>487.0</v>
      </c>
      <c r="E47" s="1">
        <v>735.0</v>
      </c>
      <c r="F47" s="1">
        <v>7897.0</v>
      </c>
      <c r="G47" s="1">
        <v>470.0</v>
      </c>
      <c r="H47" s="1">
        <v>2327.0</v>
      </c>
      <c r="I47" s="1">
        <v>11956.0</v>
      </c>
      <c r="J47" s="1" t="s">
        <v>15</v>
      </c>
    </row>
    <row r="48">
      <c r="A48" s="1" t="s">
        <v>56</v>
      </c>
      <c r="B48" s="2" t="str">
        <f>"0350011"</f>
        <v>0350011</v>
      </c>
      <c r="C48" s="1" t="s">
        <v>15</v>
      </c>
      <c r="D48" s="1">
        <v>310.0</v>
      </c>
      <c r="E48" s="1">
        <v>39.0</v>
      </c>
      <c r="F48" s="1">
        <v>352.0</v>
      </c>
      <c r="G48" s="1">
        <v>237.0</v>
      </c>
      <c r="H48" s="1">
        <v>3730.0</v>
      </c>
      <c r="I48" s="1">
        <v>4673.0</v>
      </c>
      <c r="J48" s="1" t="s">
        <v>15</v>
      </c>
    </row>
    <row r="49">
      <c r="A49" s="1" t="s">
        <v>57</v>
      </c>
      <c r="B49" s="2" t="str">
        <f>"0360011"</f>
        <v>0360011</v>
      </c>
      <c r="C49" s="1">
        <v>0.0</v>
      </c>
      <c r="D49" s="1">
        <v>0.0</v>
      </c>
      <c r="E49" s="1" t="s">
        <v>15</v>
      </c>
      <c r="F49" s="1">
        <v>19.0</v>
      </c>
      <c r="G49" s="1" t="s">
        <v>15</v>
      </c>
      <c r="H49" s="1">
        <v>165.0</v>
      </c>
      <c r="I49" s="1">
        <v>189.0</v>
      </c>
      <c r="J49" s="1" t="s">
        <v>15</v>
      </c>
    </row>
    <row r="50">
      <c r="A50" s="1" t="s">
        <v>58</v>
      </c>
      <c r="B50" s="2" t="str">
        <f>""</f>
        <v/>
      </c>
      <c r="C50" s="1">
        <v>0.0</v>
      </c>
      <c r="D50" s="1">
        <v>0.0</v>
      </c>
      <c r="E50" s="1" t="s">
        <v>15</v>
      </c>
      <c r="F50" s="1">
        <v>0.0</v>
      </c>
      <c r="G50" s="1">
        <v>0.0</v>
      </c>
      <c r="H50" s="1" t="s">
        <v>15</v>
      </c>
      <c r="I50" s="1" t="s">
        <v>15</v>
      </c>
      <c r="J50" s="1">
        <v>0.0</v>
      </c>
    </row>
    <row r="51">
      <c r="A51" s="1" t="s">
        <v>59</v>
      </c>
      <c r="B51" s="2" t="str">
        <f>"0370011"</f>
        <v>0370011</v>
      </c>
      <c r="C51" s="1">
        <v>0.0</v>
      </c>
      <c r="D51" s="1" t="s">
        <v>15</v>
      </c>
      <c r="E51" s="1">
        <v>269.0</v>
      </c>
      <c r="F51" s="1">
        <v>597.0</v>
      </c>
      <c r="G51" s="1">
        <v>89.0</v>
      </c>
      <c r="H51" s="1">
        <v>328.0</v>
      </c>
      <c r="I51" s="1">
        <v>1311.0</v>
      </c>
      <c r="J51" s="1" t="s">
        <v>15</v>
      </c>
    </row>
    <row r="52">
      <c r="A52" s="1" t="s">
        <v>60</v>
      </c>
      <c r="B52" s="2" t="str">
        <f>"0400011"</f>
        <v>0400011</v>
      </c>
      <c r="C52" s="1">
        <v>0.0</v>
      </c>
      <c r="D52" s="1">
        <v>66.0</v>
      </c>
      <c r="E52" s="1">
        <v>53.0</v>
      </c>
      <c r="F52" s="1">
        <v>74.0</v>
      </c>
      <c r="G52" s="1">
        <v>38.0</v>
      </c>
      <c r="H52" s="1">
        <v>649.0</v>
      </c>
      <c r="I52" s="1">
        <v>880.0</v>
      </c>
      <c r="J52" s="1">
        <v>0.0</v>
      </c>
    </row>
    <row r="53">
      <c r="A53" s="1" t="s">
        <v>61</v>
      </c>
      <c r="B53" s="2" t="str">
        <f>"0410011"</f>
        <v>0410011</v>
      </c>
      <c r="C53" s="1" t="s">
        <v>15</v>
      </c>
      <c r="D53" s="1">
        <v>6.0</v>
      </c>
      <c r="E53" s="1" t="s">
        <v>15</v>
      </c>
      <c r="F53" s="1">
        <v>68.0</v>
      </c>
      <c r="G53" s="1">
        <v>25.0</v>
      </c>
      <c r="H53" s="1">
        <v>849.0</v>
      </c>
      <c r="I53" s="1">
        <v>954.0</v>
      </c>
      <c r="J53" s="1">
        <v>0.0</v>
      </c>
    </row>
    <row r="54">
      <c r="A54" s="1" t="s">
        <v>62</v>
      </c>
      <c r="B54" s="2" t="str">
        <f>"0420011"</f>
        <v>0420011</v>
      </c>
      <c r="C54" s="1">
        <v>0.0</v>
      </c>
      <c r="D54" s="1" t="s">
        <v>15</v>
      </c>
      <c r="E54" s="1">
        <v>23.0</v>
      </c>
      <c r="F54" s="1">
        <v>140.0</v>
      </c>
      <c r="G54" s="1">
        <v>59.0</v>
      </c>
      <c r="H54" s="1">
        <v>1433.0</v>
      </c>
      <c r="I54" s="1">
        <v>1676.0</v>
      </c>
      <c r="J54" s="1" t="s">
        <v>15</v>
      </c>
    </row>
    <row r="55">
      <c r="A55" s="1" t="s">
        <v>63</v>
      </c>
      <c r="B55" s="2" t="str">
        <f>"0430011"</f>
        <v>0430011</v>
      </c>
      <c r="C55" s="1">
        <v>19.0</v>
      </c>
      <c r="D55" s="1">
        <v>242.0</v>
      </c>
      <c r="E55" s="1">
        <v>1951.0</v>
      </c>
      <c r="F55" s="1">
        <v>3455.0</v>
      </c>
      <c r="G55" s="1">
        <v>210.0</v>
      </c>
      <c r="H55" s="1">
        <v>613.0</v>
      </c>
      <c r="I55" s="1">
        <v>6504.0</v>
      </c>
      <c r="J55" s="1">
        <v>14.0</v>
      </c>
    </row>
    <row r="56">
      <c r="A56" s="1" t="s">
        <v>64</v>
      </c>
      <c r="B56" s="2" t="str">
        <f>"0440011"</f>
        <v>0440011</v>
      </c>
      <c r="C56" s="1" t="s">
        <v>15</v>
      </c>
      <c r="D56" s="1">
        <v>90.0</v>
      </c>
      <c r="E56" s="1">
        <v>182.0</v>
      </c>
      <c r="F56" s="1">
        <v>1232.0</v>
      </c>
      <c r="G56" s="1">
        <v>106.0</v>
      </c>
      <c r="H56" s="1">
        <v>1239.0</v>
      </c>
      <c r="I56" s="1">
        <v>2857.0</v>
      </c>
      <c r="J56" s="1" t="s">
        <v>15</v>
      </c>
    </row>
    <row r="57">
      <c r="A57" s="1" t="s">
        <v>65</v>
      </c>
      <c r="B57" s="2" t="str">
        <f>"0450011"</f>
        <v>0450011</v>
      </c>
      <c r="C57" s="1" t="s">
        <v>15</v>
      </c>
      <c r="D57" s="1">
        <v>231.0</v>
      </c>
      <c r="E57" s="1">
        <v>46.0</v>
      </c>
      <c r="F57" s="1">
        <v>271.0</v>
      </c>
      <c r="G57" s="1">
        <v>158.0</v>
      </c>
      <c r="H57" s="1">
        <v>1782.0</v>
      </c>
      <c r="I57" s="1">
        <v>2500.0</v>
      </c>
      <c r="J57" s="1" t="s">
        <v>15</v>
      </c>
    </row>
    <row r="58">
      <c r="A58" s="1" t="s">
        <v>66</v>
      </c>
      <c r="B58" s="2" t="str">
        <f>"0470011"</f>
        <v>0470011</v>
      </c>
      <c r="C58" s="1" t="s">
        <v>15</v>
      </c>
      <c r="D58" s="1">
        <v>73.0</v>
      </c>
      <c r="E58" s="1">
        <v>141.0</v>
      </c>
      <c r="F58" s="1">
        <v>277.0</v>
      </c>
      <c r="G58" s="1">
        <v>62.0</v>
      </c>
      <c r="H58" s="1">
        <v>480.0</v>
      </c>
      <c r="I58" s="1">
        <v>1035.0</v>
      </c>
      <c r="J58" s="1" t="s">
        <v>15</v>
      </c>
    </row>
    <row r="59">
      <c r="A59" s="1" t="s">
        <v>67</v>
      </c>
      <c r="B59" s="2" t="str">
        <f>"2530014"</f>
        <v>2530014</v>
      </c>
      <c r="C59" s="1">
        <v>0.0</v>
      </c>
      <c r="D59" s="1">
        <v>0.0</v>
      </c>
      <c r="E59" s="1">
        <v>15.0</v>
      </c>
      <c r="F59" s="1">
        <v>76.0</v>
      </c>
      <c r="G59" s="1">
        <v>35.0</v>
      </c>
      <c r="H59" s="1">
        <v>241.0</v>
      </c>
      <c r="I59" s="1">
        <v>367.0</v>
      </c>
      <c r="J59" s="1">
        <v>0.0</v>
      </c>
    </row>
    <row r="60">
      <c r="A60" s="1" t="s">
        <v>68</v>
      </c>
      <c r="B60" s="2" t="str">
        <f>"0390011"</f>
        <v>0390011</v>
      </c>
      <c r="C60" s="1">
        <v>0.0</v>
      </c>
      <c r="D60" s="1" t="s">
        <v>15</v>
      </c>
      <c r="E60" s="1" t="s">
        <v>15</v>
      </c>
      <c r="F60" s="1">
        <v>15.0</v>
      </c>
      <c r="G60" s="1">
        <v>12.0</v>
      </c>
      <c r="H60" s="1">
        <v>143.0</v>
      </c>
      <c r="I60" s="1">
        <v>173.0</v>
      </c>
      <c r="J60" s="1">
        <v>0.0</v>
      </c>
    </row>
    <row r="61">
      <c r="A61" s="1" t="s">
        <v>69</v>
      </c>
      <c r="B61" s="2" t="str">
        <f>"0460011"</f>
        <v>0460011</v>
      </c>
      <c r="C61" s="1">
        <v>0.0</v>
      </c>
      <c r="D61" s="1">
        <v>64.0</v>
      </c>
      <c r="E61" s="1">
        <v>32.0</v>
      </c>
      <c r="F61" s="1">
        <v>90.0</v>
      </c>
      <c r="G61" s="1">
        <v>45.0</v>
      </c>
      <c r="H61" s="1">
        <v>663.0</v>
      </c>
      <c r="I61" s="1">
        <v>894.0</v>
      </c>
      <c r="J61" s="1">
        <v>0.0</v>
      </c>
    </row>
    <row r="62">
      <c r="A62" s="1" t="s">
        <v>70</v>
      </c>
      <c r="B62" s="2" t="str">
        <f>"2420014"</f>
        <v>2420014</v>
      </c>
      <c r="C62" s="1" t="s">
        <v>15</v>
      </c>
      <c r="D62" s="1" t="s">
        <v>15</v>
      </c>
      <c r="E62" s="1">
        <v>21.0</v>
      </c>
      <c r="F62" s="1">
        <v>101.0</v>
      </c>
      <c r="G62" s="1">
        <v>14.0</v>
      </c>
      <c r="H62" s="1">
        <v>117.0</v>
      </c>
      <c r="I62" s="1">
        <v>263.0</v>
      </c>
      <c r="J62" s="1">
        <v>0.0</v>
      </c>
    </row>
    <row r="63">
      <c r="A63" s="1" t="s">
        <v>71</v>
      </c>
      <c r="B63" s="2" t="str">
        <f>"0480011"</f>
        <v>0480011</v>
      </c>
      <c r="C63" s="1" t="s">
        <v>15</v>
      </c>
      <c r="D63" s="1">
        <v>278.0</v>
      </c>
      <c r="E63" s="1">
        <v>128.0</v>
      </c>
      <c r="F63" s="1">
        <v>233.0</v>
      </c>
      <c r="G63" s="1" t="s">
        <v>15</v>
      </c>
      <c r="H63" s="1">
        <v>1789.0</v>
      </c>
      <c r="I63" s="1">
        <v>2526.0</v>
      </c>
      <c r="J63" s="1">
        <v>0.0</v>
      </c>
    </row>
    <row r="64">
      <c r="A64" s="1" t="s">
        <v>72</v>
      </c>
      <c r="B64" s="2" t="str">
        <f>"2890013"</f>
        <v>2890013</v>
      </c>
      <c r="C64" s="1">
        <v>0.0</v>
      </c>
      <c r="D64" s="1">
        <v>0.0</v>
      </c>
      <c r="E64" s="1">
        <v>454.0</v>
      </c>
      <c r="F64" s="1">
        <v>277.0</v>
      </c>
      <c r="G64" s="1">
        <v>16.0</v>
      </c>
      <c r="H64" s="1" t="s">
        <v>15</v>
      </c>
      <c r="I64" s="1">
        <v>760.0</v>
      </c>
      <c r="J64" s="1" t="s">
        <v>15</v>
      </c>
    </row>
    <row r="65">
      <c r="A65" s="1" t="s">
        <v>73</v>
      </c>
      <c r="B65" s="2" t="str">
        <f>"2910013"</f>
        <v>2910013</v>
      </c>
      <c r="C65" s="1">
        <v>0.0</v>
      </c>
      <c r="D65" s="1">
        <v>7.0</v>
      </c>
      <c r="E65" s="1">
        <v>82.0</v>
      </c>
      <c r="F65" s="1">
        <v>88.0</v>
      </c>
      <c r="G65" s="1">
        <v>30.0</v>
      </c>
      <c r="H65" s="1">
        <v>105.0</v>
      </c>
      <c r="I65" s="1">
        <v>312.0</v>
      </c>
      <c r="J65" s="1">
        <v>0.0</v>
      </c>
    </row>
    <row r="66">
      <c r="A66" s="1" t="s">
        <v>74</v>
      </c>
      <c r="B66" s="2" t="str">
        <f>"0490011"</f>
        <v>0490011</v>
      </c>
      <c r="C66" s="1" t="s">
        <v>15</v>
      </c>
      <c r="D66" s="1">
        <v>100.0</v>
      </c>
      <c r="E66" s="1">
        <v>317.0</v>
      </c>
      <c r="F66" s="1">
        <v>1126.0</v>
      </c>
      <c r="G66" s="1">
        <v>298.0</v>
      </c>
      <c r="H66" s="1">
        <v>2844.0</v>
      </c>
      <c r="I66" s="1">
        <v>4694.0</v>
      </c>
      <c r="J66" s="1" t="s">
        <v>15</v>
      </c>
    </row>
    <row r="67">
      <c r="A67" s="1" t="s">
        <v>75</v>
      </c>
      <c r="B67" s="2" t="str">
        <f>"0500011"</f>
        <v>0500011</v>
      </c>
      <c r="C67" s="1">
        <v>0.0</v>
      </c>
      <c r="D67" s="1" t="s">
        <v>15</v>
      </c>
      <c r="E67" s="1" t="s">
        <v>15</v>
      </c>
      <c r="F67" s="1">
        <v>37.0</v>
      </c>
      <c r="G67" s="1">
        <v>11.0</v>
      </c>
      <c r="H67" s="1">
        <v>255.0</v>
      </c>
      <c r="I67" s="1">
        <v>308.0</v>
      </c>
      <c r="J67" s="1" t="s">
        <v>15</v>
      </c>
    </row>
    <row r="68">
      <c r="A68" s="1" t="s">
        <v>76</v>
      </c>
      <c r="B68" s="2" t="str">
        <f>"2720013"</f>
        <v>2720013</v>
      </c>
      <c r="C68" s="1">
        <v>0.0</v>
      </c>
      <c r="D68" s="1">
        <v>0.0</v>
      </c>
      <c r="E68" s="1" t="s">
        <v>15</v>
      </c>
      <c r="F68" s="1">
        <v>10.0</v>
      </c>
      <c r="G68" s="1" t="s">
        <v>15</v>
      </c>
      <c r="H68" s="1">
        <v>55.0</v>
      </c>
      <c r="I68" s="1">
        <v>77.0</v>
      </c>
      <c r="J68" s="1">
        <v>0.0</v>
      </c>
    </row>
    <row r="69">
      <c r="A69" s="1" t="s">
        <v>77</v>
      </c>
      <c r="B69" s="2" t="str">
        <f>"0510011"</f>
        <v>0510011</v>
      </c>
      <c r="C69" s="1" t="s">
        <v>15</v>
      </c>
      <c r="D69" s="1">
        <v>543.0</v>
      </c>
      <c r="E69" s="1">
        <v>313.0</v>
      </c>
      <c r="F69" s="1">
        <v>1319.0</v>
      </c>
      <c r="G69" s="1">
        <v>536.0</v>
      </c>
      <c r="H69" s="1">
        <v>6417.0</v>
      </c>
      <c r="I69" s="1">
        <v>9139.0</v>
      </c>
      <c r="J69" s="1" t="s">
        <v>15</v>
      </c>
    </row>
    <row r="70">
      <c r="A70" s="1" t="s">
        <v>78</v>
      </c>
      <c r="B70" s="2" t="str">
        <f>"0520011"</f>
        <v>0520011</v>
      </c>
      <c r="C70" s="1" t="s">
        <v>15</v>
      </c>
      <c r="D70" s="1">
        <v>1037.0</v>
      </c>
      <c r="E70" s="1">
        <v>195.0</v>
      </c>
      <c r="F70" s="1">
        <v>530.0</v>
      </c>
      <c r="G70" s="1">
        <v>274.0</v>
      </c>
      <c r="H70" s="1">
        <v>2149.0</v>
      </c>
      <c r="I70" s="1">
        <v>4195.0</v>
      </c>
      <c r="J70" s="1" t="s">
        <v>15</v>
      </c>
    </row>
    <row r="71">
      <c r="A71" s="1" t="s">
        <v>79</v>
      </c>
      <c r="B71" s="2" t="str">
        <f>"0530011"</f>
        <v>0530011</v>
      </c>
      <c r="C71" s="1" t="s">
        <v>15</v>
      </c>
      <c r="D71" s="1">
        <v>0.0</v>
      </c>
      <c r="E71" s="1" t="s">
        <v>15</v>
      </c>
      <c r="F71" s="1">
        <v>15.0</v>
      </c>
      <c r="G71" s="1">
        <v>17.0</v>
      </c>
      <c r="H71" s="1">
        <v>152.0</v>
      </c>
      <c r="I71" s="1">
        <v>188.0</v>
      </c>
      <c r="J71" s="1">
        <v>0.0</v>
      </c>
    </row>
    <row r="72">
      <c r="A72" s="1" t="s">
        <v>80</v>
      </c>
      <c r="B72" s="2" t="str">
        <f>"0540011"</f>
        <v>0540011</v>
      </c>
      <c r="C72" s="1">
        <v>7.0</v>
      </c>
      <c r="D72" s="1">
        <v>842.0</v>
      </c>
      <c r="E72" s="1">
        <v>187.0</v>
      </c>
      <c r="F72" s="1">
        <v>738.0</v>
      </c>
      <c r="G72" s="1">
        <v>374.0</v>
      </c>
      <c r="H72" s="1">
        <v>3548.0</v>
      </c>
      <c r="I72" s="1">
        <v>5696.0</v>
      </c>
      <c r="J72" s="1">
        <v>0.0</v>
      </c>
    </row>
    <row r="73">
      <c r="A73" s="1" t="s">
        <v>81</v>
      </c>
      <c r="B73" s="2" t="str">
        <f>"2310018"</f>
        <v>2310018</v>
      </c>
      <c r="C73" s="1" t="s">
        <v>15</v>
      </c>
      <c r="D73" s="1">
        <v>31.0</v>
      </c>
      <c r="E73" s="1">
        <v>383.0</v>
      </c>
      <c r="F73" s="1">
        <v>596.0</v>
      </c>
      <c r="G73" s="1">
        <v>68.0</v>
      </c>
      <c r="H73" s="1">
        <v>137.0</v>
      </c>
      <c r="I73" s="1">
        <v>1223.0</v>
      </c>
      <c r="J73" s="1" t="s">
        <v>15</v>
      </c>
    </row>
    <row r="74">
      <c r="A74" s="1" t="s">
        <v>82</v>
      </c>
      <c r="B74" s="2" t="str">
        <f>"0560011"</f>
        <v>0560011</v>
      </c>
      <c r="C74" s="1" t="s">
        <v>15</v>
      </c>
      <c r="D74" s="1">
        <v>48.0</v>
      </c>
      <c r="E74" s="1">
        <v>131.0</v>
      </c>
      <c r="F74" s="1">
        <v>122.0</v>
      </c>
      <c r="G74" s="1">
        <v>52.0</v>
      </c>
      <c r="H74" s="1">
        <v>1350.0</v>
      </c>
      <c r="I74" s="1">
        <v>1709.0</v>
      </c>
      <c r="J74" s="1" t="s">
        <v>15</v>
      </c>
    </row>
    <row r="75">
      <c r="A75" s="1" t="s">
        <v>83</v>
      </c>
      <c r="B75" s="2" t="str">
        <f>"2940013"</f>
        <v>2940013</v>
      </c>
      <c r="C75" s="1" t="s">
        <v>15</v>
      </c>
      <c r="D75" s="1">
        <v>19.0</v>
      </c>
      <c r="E75" s="1">
        <v>275.0</v>
      </c>
      <c r="F75" s="1">
        <v>328.0</v>
      </c>
      <c r="G75" s="1" t="s">
        <v>15</v>
      </c>
      <c r="H75" s="1">
        <v>25.0</v>
      </c>
      <c r="I75" s="1">
        <v>662.0</v>
      </c>
      <c r="J75" s="1">
        <v>0.0</v>
      </c>
    </row>
    <row r="76">
      <c r="A76" s="1" t="s">
        <v>84</v>
      </c>
      <c r="B76" s="2" t="str">
        <f>"0570011"</f>
        <v>0570011</v>
      </c>
      <c r="C76" s="1" t="s">
        <v>15</v>
      </c>
      <c r="D76" s="1">
        <v>724.0</v>
      </c>
      <c r="E76" s="1">
        <v>144.0</v>
      </c>
      <c r="F76" s="1">
        <v>2042.0</v>
      </c>
      <c r="G76" s="1">
        <v>541.0</v>
      </c>
      <c r="H76" s="1">
        <v>4995.0</v>
      </c>
      <c r="I76" s="1">
        <v>8465.0</v>
      </c>
      <c r="J76" s="1" t="s">
        <v>15</v>
      </c>
    </row>
    <row r="77">
      <c r="A77" s="1" t="s">
        <v>85</v>
      </c>
      <c r="B77" s="2" t="str">
        <f>"0580011"</f>
        <v>0580011</v>
      </c>
      <c r="C77" s="1" t="s">
        <v>15</v>
      </c>
      <c r="D77" s="1">
        <v>42.0</v>
      </c>
      <c r="E77" s="1">
        <v>61.0</v>
      </c>
      <c r="F77" s="1">
        <v>273.0</v>
      </c>
      <c r="G77" s="1">
        <v>129.0</v>
      </c>
      <c r="H77" s="1">
        <v>1299.0</v>
      </c>
      <c r="I77" s="1">
        <v>1823.0</v>
      </c>
      <c r="J77" s="1" t="s">
        <v>15</v>
      </c>
    </row>
    <row r="78">
      <c r="A78" s="1" t="s">
        <v>86</v>
      </c>
      <c r="B78" s="2" t="str">
        <f>"0590011"</f>
        <v>0590011</v>
      </c>
      <c r="C78" s="1">
        <v>27.0</v>
      </c>
      <c r="D78" s="1">
        <v>238.0</v>
      </c>
      <c r="E78" s="1">
        <v>295.0</v>
      </c>
      <c r="F78" s="1">
        <v>1063.0</v>
      </c>
      <c r="G78" s="1">
        <v>535.0</v>
      </c>
      <c r="H78" s="1">
        <v>1840.0</v>
      </c>
      <c r="I78" s="1">
        <v>4009.0</v>
      </c>
      <c r="J78" s="1">
        <v>11.0</v>
      </c>
    </row>
    <row r="79">
      <c r="A79" s="1" t="s">
        <v>87</v>
      </c>
      <c r="B79" s="2" t="str">
        <f>"0600011"</f>
        <v>0600011</v>
      </c>
      <c r="C79" s="1">
        <v>0.0</v>
      </c>
      <c r="D79" s="1">
        <v>129.0</v>
      </c>
      <c r="E79" s="1" t="s">
        <v>15</v>
      </c>
      <c r="F79" s="1">
        <v>305.0</v>
      </c>
      <c r="G79" s="1">
        <v>176.0</v>
      </c>
      <c r="H79" s="1">
        <v>2434.0</v>
      </c>
      <c r="I79" s="1">
        <v>3080.0</v>
      </c>
      <c r="J79" s="1" t="s">
        <v>15</v>
      </c>
    </row>
    <row r="80">
      <c r="A80" s="1" t="s">
        <v>88</v>
      </c>
      <c r="B80" s="2" t="str">
        <f>"0620011"</f>
        <v>0620011</v>
      </c>
      <c r="C80" s="1" t="s">
        <v>15</v>
      </c>
      <c r="D80" s="1">
        <v>364.0</v>
      </c>
      <c r="E80" s="1">
        <v>1782.0</v>
      </c>
      <c r="F80" s="1">
        <v>1630.0</v>
      </c>
      <c r="G80" s="1">
        <v>373.0</v>
      </c>
      <c r="H80" s="1">
        <v>1304.0</v>
      </c>
      <c r="I80" s="1">
        <v>5464.0</v>
      </c>
      <c r="J80" s="1" t="s">
        <v>15</v>
      </c>
    </row>
    <row r="81">
      <c r="A81" s="1" t="s">
        <v>89</v>
      </c>
      <c r="B81" s="2" t="str">
        <f>"0630011"</f>
        <v>0630011</v>
      </c>
      <c r="C81" s="1">
        <v>0.0</v>
      </c>
      <c r="D81" s="1" t="s">
        <v>15</v>
      </c>
      <c r="E81" s="1" t="s">
        <v>15</v>
      </c>
      <c r="F81" s="1" t="s">
        <v>15</v>
      </c>
      <c r="G81" s="1" t="s">
        <v>15</v>
      </c>
      <c r="H81" s="1">
        <v>62.0</v>
      </c>
      <c r="I81" s="1">
        <v>74.0</v>
      </c>
      <c r="J81" s="1">
        <v>0.0</v>
      </c>
    </row>
    <row r="82">
      <c r="A82" s="1" t="s">
        <v>90</v>
      </c>
      <c r="B82" s="2" t="str">
        <f>"0640011"</f>
        <v>0640011</v>
      </c>
      <c r="C82" s="1">
        <v>61.0</v>
      </c>
      <c r="D82" s="1">
        <v>765.0</v>
      </c>
      <c r="E82" s="1">
        <v>4686.0</v>
      </c>
      <c r="F82" s="1">
        <v>9431.0</v>
      </c>
      <c r="G82" s="1">
        <v>498.0</v>
      </c>
      <c r="H82" s="1">
        <v>973.0</v>
      </c>
      <c r="I82" s="1">
        <v>16434.0</v>
      </c>
      <c r="J82" s="1">
        <v>20.0</v>
      </c>
    </row>
    <row r="83">
      <c r="A83" s="1" t="s">
        <v>91</v>
      </c>
      <c r="B83" s="2" t="str">
        <f>"0650011"</f>
        <v>0650011</v>
      </c>
      <c r="C83" s="1">
        <v>0.0</v>
      </c>
      <c r="D83" s="1">
        <v>0.0</v>
      </c>
      <c r="E83" s="1">
        <v>0.0</v>
      </c>
      <c r="F83" s="1" t="s">
        <v>15</v>
      </c>
      <c r="G83" s="1" t="s">
        <v>15</v>
      </c>
      <c r="H83" s="1">
        <v>108.0</v>
      </c>
      <c r="I83" s="1">
        <v>123.0</v>
      </c>
      <c r="J83" s="1">
        <v>0.0</v>
      </c>
    </row>
    <row r="84">
      <c r="A84" s="1" t="s">
        <v>92</v>
      </c>
      <c r="B84" s="2" t="str">
        <f>"0670011"</f>
        <v>0670011</v>
      </c>
      <c r="C84" s="1" t="s">
        <v>15</v>
      </c>
      <c r="D84" s="1">
        <v>10.0</v>
      </c>
      <c r="E84" s="1" t="s">
        <v>15</v>
      </c>
      <c r="F84" s="1">
        <v>35.0</v>
      </c>
      <c r="G84" s="1">
        <v>28.0</v>
      </c>
      <c r="H84" s="1">
        <v>598.0</v>
      </c>
      <c r="I84" s="1">
        <v>681.0</v>
      </c>
      <c r="J84" s="1">
        <v>0.0</v>
      </c>
    </row>
    <row r="85">
      <c r="A85" s="1" t="s">
        <v>93</v>
      </c>
      <c r="B85" s="2" t="str">
        <f>"2860013"</f>
        <v>2860013</v>
      </c>
      <c r="C85" s="1" t="s">
        <v>15</v>
      </c>
      <c r="D85" s="1">
        <v>0.0</v>
      </c>
      <c r="E85" s="1">
        <v>411.0</v>
      </c>
      <c r="F85" s="1">
        <v>72.0</v>
      </c>
      <c r="G85" s="1">
        <v>11.0</v>
      </c>
      <c r="H85" s="1" t="s">
        <v>15</v>
      </c>
      <c r="I85" s="1">
        <v>499.0</v>
      </c>
      <c r="J85" s="1" t="s">
        <v>15</v>
      </c>
    </row>
    <row r="86">
      <c r="A86" s="1" t="s">
        <v>94</v>
      </c>
      <c r="B86" s="2" t="str">
        <f>"2640013"</f>
        <v>2640013</v>
      </c>
      <c r="C86" s="1" t="s">
        <v>15</v>
      </c>
      <c r="D86" s="1">
        <v>48.0</v>
      </c>
      <c r="E86" s="1">
        <v>42.0</v>
      </c>
      <c r="F86" s="1">
        <v>90.0</v>
      </c>
      <c r="G86" s="1" t="s">
        <v>15</v>
      </c>
      <c r="H86" s="1">
        <v>145.0</v>
      </c>
      <c r="I86" s="1">
        <v>364.0</v>
      </c>
      <c r="J86" s="1">
        <v>0.0</v>
      </c>
    </row>
    <row r="87">
      <c r="A87" s="1" t="s">
        <v>95</v>
      </c>
      <c r="B87" s="2" t="str">
        <f>"2650013"</f>
        <v>2650013</v>
      </c>
      <c r="C87" s="1" t="s">
        <v>15</v>
      </c>
      <c r="D87" s="1" t="s">
        <v>15</v>
      </c>
      <c r="E87" s="1">
        <v>51.0</v>
      </c>
      <c r="F87" s="1">
        <v>191.0</v>
      </c>
      <c r="G87" s="1">
        <v>36.0</v>
      </c>
      <c r="H87" s="1">
        <v>45.0</v>
      </c>
      <c r="I87" s="1">
        <v>328.0</v>
      </c>
      <c r="J87" s="1">
        <v>0.0</v>
      </c>
    </row>
    <row r="88">
      <c r="A88" s="1" t="s">
        <v>96</v>
      </c>
      <c r="B88" s="2" t="str">
        <f>"2610013"</f>
        <v>2610013</v>
      </c>
      <c r="C88" s="1" t="s">
        <v>15</v>
      </c>
      <c r="D88" s="1">
        <v>0.0</v>
      </c>
      <c r="E88" s="1">
        <v>528.0</v>
      </c>
      <c r="F88" s="1">
        <v>39.0</v>
      </c>
      <c r="G88" s="1" t="s">
        <v>15</v>
      </c>
      <c r="H88" s="1">
        <v>0.0</v>
      </c>
      <c r="I88" s="1">
        <v>571.0</v>
      </c>
      <c r="J88" s="1">
        <v>0.0</v>
      </c>
    </row>
    <row r="89">
      <c r="A89" s="1" t="s">
        <v>97</v>
      </c>
      <c r="B89" s="2" t="str">
        <f>"0680011"</f>
        <v>0680011</v>
      </c>
      <c r="C89" s="1">
        <v>0.0</v>
      </c>
      <c r="D89" s="1" t="s">
        <v>15</v>
      </c>
      <c r="E89" s="1" t="s">
        <v>15</v>
      </c>
      <c r="F89" s="1">
        <v>24.0</v>
      </c>
      <c r="G89" s="1">
        <v>11.0</v>
      </c>
      <c r="H89" s="1">
        <v>139.0</v>
      </c>
      <c r="I89" s="1">
        <v>180.0</v>
      </c>
      <c r="J89" s="1">
        <v>0.0</v>
      </c>
    </row>
    <row r="90">
      <c r="A90" s="1" t="s">
        <v>98</v>
      </c>
      <c r="B90" s="2" t="str">
        <f>"0690011"</f>
        <v>0690011</v>
      </c>
      <c r="C90" s="1" t="s">
        <v>15</v>
      </c>
      <c r="D90" s="1">
        <v>44.0</v>
      </c>
      <c r="E90" s="1">
        <v>51.0</v>
      </c>
      <c r="F90" s="1">
        <v>317.0</v>
      </c>
      <c r="G90" s="1">
        <v>165.0</v>
      </c>
      <c r="H90" s="1">
        <v>1807.0</v>
      </c>
      <c r="I90" s="1">
        <v>2392.0</v>
      </c>
      <c r="J90" s="1" t="s">
        <v>15</v>
      </c>
    </row>
    <row r="91">
      <c r="A91" s="1" t="s">
        <v>99</v>
      </c>
      <c r="B91" s="2" t="str">
        <f>"2450014"</f>
        <v>2450014</v>
      </c>
      <c r="C91" s="1" t="s">
        <v>15</v>
      </c>
      <c r="D91" s="1" t="s">
        <v>15</v>
      </c>
      <c r="E91" s="1">
        <v>117.0</v>
      </c>
      <c r="F91" s="1">
        <v>547.0</v>
      </c>
      <c r="G91" s="1">
        <v>192.0</v>
      </c>
      <c r="H91" s="1">
        <v>494.0</v>
      </c>
      <c r="I91" s="1">
        <v>1390.0</v>
      </c>
      <c r="J91" s="1">
        <v>0.0</v>
      </c>
    </row>
    <row r="92">
      <c r="A92" s="1" t="s">
        <v>100</v>
      </c>
      <c r="B92" s="2" t="str">
        <f>"0710011"</f>
        <v>0710011</v>
      </c>
      <c r="C92" s="1">
        <v>6.0</v>
      </c>
      <c r="D92" s="1">
        <v>10.0</v>
      </c>
      <c r="E92" s="1">
        <v>11.0</v>
      </c>
      <c r="F92" s="1">
        <v>87.0</v>
      </c>
      <c r="G92" s="1">
        <v>25.0</v>
      </c>
      <c r="H92" s="1">
        <v>823.0</v>
      </c>
      <c r="I92" s="1">
        <v>968.0</v>
      </c>
      <c r="J92" s="1">
        <v>6.0</v>
      </c>
    </row>
    <row r="93">
      <c r="A93" s="1" t="s">
        <v>101</v>
      </c>
      <c r="B93" s="2" t="str">
        <f>"0720011"</f>
        <v>0720011</v>
      </c>
      <c r="C93" s="1">
        <v>36.0</v>
      </c>
      <c r="D93" s="1">
        <v>62.0</v>
      </c>
      <c r="E93" s="1">
        <v>68.0</v>
      </c>
      <c r="F93" s="1">
        <v>342.0</v>
      </c>
      <c r="G93" s="1">
        <v>229.0</v>
      </c>
      <c r="H93" s="1">
        <v>1604.0</v>
      </c>
      <c r="I93" s="1">
        <v>2347.0</v>
      </c>
      <c r="J93" s="1">
        <v>6.0</v>
      </c>
    </row>
    <row r="94">
      <c r="A94" s="1" t="s">
        <v>102</v>
      </c>
      <c r="B94" s="2" t="str">
        <f>"0730011"</f>
        <v>0730011</v>
      </c>
      <c r="C94" s="1" t="s">
        <v>15</v>
      </c>
      <c r="D94" s="1" t="s">
        <v>15</v>
      </c>
      <c r="E94" s="1">
        <v>9.0</v>
      </c>
      <c r="F94" s="1">
        <v>51.0</v>
      </c>
      <c r="G94" s="1">
        <v>32.0</v>
      </c>
      <c r="H94" s="1">
        <v>320.0</v>
      </c>
      <c r="I94" s="1">
        <v>422.0</v>
      </c>
      <c r="J94" s="1">
        <v>0.0</v>
      </c>
    </row>
    <row r="95">
      <c r="A95" s="1" t="s">
        <v>103</v>
      </c>
      <c r="B95" s="2" t="str">
        <f>"0760011"</f>
        <v>0760011</v>
      </c>
      <c r="C95" s="1" t="s">
        <v>15</v>
      </c>
      <c r="D95" s="1">
        <v>79.0</v>
      </c>
      <c r="E95" s="1">
        <v>19.0</v>
      </c>
      <c r="F95" s="1">
        <v>180.0</v>
      </c>
      <c r="G95" s="1">
        <v>130.0</v>
      </c>
      <c r="H95" s="1">
        <v>2032.0</v>
      </c>
      <c r="I95" s="1">
        <v>2445.0</v>
      </c>
      <c r="J95" s="1" t="s">
        <v>15</v>
      </c>
    </row>
    <row r="96">
      <c r="A96" s="1" t="s">
        <v>104</v>
      </c>
      <c r="B96" s="2" t="str">
        <f>"0770011"</f>
        <v>0770011</v>
      </c>
      <c r="C96" s="1">
        <v>35.0</v>
      </c>
      <c r="D96" s="1">
        <v>516.0</v>
      </c>
      <c r="E96" s="1">
        <v>1504.0</v>
      </c>
      <c r="F96" s="1">
        <v>2239.0</v>
      </c>
      <c r="G96" s="1">
        <v>256.0</v>
      </c>
      <c r="H96" s="1">
        <v>1558.0</v>
      </c>
      <c r="I96" s="1">
        <v>6122.0</v>
      </c>
      <c r="J96" s="1">
        <v>14.0</v>
      </c>
    </row>
    <row r="97">
      <c r="A97" s="1" t="s">
        <v>105</v>
      </c>
      <c r="B97" s="2" t="str">
        <f>"0780011"</f>
        <v>0780011</v>
      </c>
      <c r="C97" s="1" t="s">
        <v>15</v>
      </c>
      <c r="D97" s="1">
        <v>121.0</v>
      </c>
      <c r="E97" s="1">
        <v>36.0</v>
      </c>
      <c r="F97" s="1">
        <v>188.0</v>
      </c>
      <c r="G97" s="1">
        <v>36.0</v>
      </c>
      <c r="H97" s="1">
        <v>581.0</v>
      </c>
      <c r="I97" s="1">
        <v>966.0</v>
      </c>
      <c r="J97" s="1" t="s">
        <v>15</v>
      </c>
    </row>
    <row r="98">
      <c r="A98" s="1" t="s">
        <v>106</v>
      </c>
      <c r="B98" s="2" t="str">
        <f>"0790011"</f>
        <v>0790011</v>
      </c>
      <c r="C98" s="1" t="s">
        <v>15</v>
      </c>
      <c r="D98" s="1">
        <v>12.0</v>
      </c>
      <c r="E98" s="1" t="s">
        <v>15</v>
      </c>
      <c r="F98" s="1">
        <v>43.0</v>
      </c>
      <c r="G98" s="1">
        <v>10.0</v>
      </c>
      <c r="H98" s="1">
        <v>388.0</v>
      </c>
      <c r="I98" s="1">
        <v>458.0</v>
      </c>
      <c r="J98" s="1">
        <v>0.0</v>
      </c>
    </row>
    <row r="99">
      <c r="A99" s="1" t="s">
        <v>107</v>
      </c>
      <c r="B99" s="2" t="str">
        <f>"0800011"</f>
        <v>0800011</v>
      </c>
      <c r="C99" s="1" t="s">
        <v>15</v>
      </c>
      <c r="D99" s="1">
        <v>146.0</v>
      </c>
      <c r="E99" s="1">
        <v>1009.0</v>
      </c>
      <c r="F99" s="1">
        <v>5422.0</v>
      </c>
      <c r="G99" s="1">
        <v>456.0</v>
      </c>
      <c r="H99" s="1">
        <v>1659.0</v>
      </c>
      <c r="I99" s="1">
        <v>8707.0</v>
      </c>
      <c r="J99" s="1" t="s">
        <v>15</v>
      </c>
    </row>
    <row r="100">
      <c r="A100" s="1" t="s">
        <v>108</v>
      </c>
      <c r="B100" s="2" t="str">
        <f>"0830011"</f>
        <v>0830011</v>
      </c>
      <c r="C100" s="1">
        <v>12.0</v>
      </c>
      <c r="D100" s="1">
        <v>218.0</v>
      </c>
      <c r="E100" s="1">
        <v>921.0</v>
      </c>
      <c r="F100" s="1">
        <v>1134.0</v>
      </c>
      <c r="G100" s="1">
        <v>441.0</v>
      </c>
      <c r="H100" s="1">
        <v>1656.0</v>
      </c>
      <c r="I100" s="1">
        <v>4394.0</v>
      </c>
      <c r="J100" s="1">
        <v>12.0</v>
      </c>
    </row>
    <row r="101">
      <c r="A101" s="1" t="s">
        <v>109</v>
      </c>
      <c r="B101" s="2" t="str">
        <f>"0840011"</f>
        <v>0840011</v>
      </c>
      <c r="C101" s="1" t="s">
        <v>15</v>
      </c>
      <c r="D101" s="1">
        <v>402.0</v>
      </c>
      <c r="E101" s="1">
        <v>253.0</v>
      </c>
      <c r="F101" s="1">
        <v>883.0</v>
      </c>
      <c r="G101" s="1">
        <v>263.0</v>
      </c>
      <c r="H101" s="1">
        <v>3408.0</v>
      </c>
      <c r="I101" s="1">
        <v>5218.0</v>
      </c>
      <c r="J101" s="1" t="s">
        <v>15</v>
      </c>
    </row>
    <row r="102">
      <c r="A102" s="1" t="s">
        <v>110</v>
      </c>
      <c r="B102" s="2" t="str">
        <f>"0850011"</f>
        <v>0850011</v>
      </c>
      <c r="C102" s="1" t="s">
        <v>15</v>
      </c>
      <c r="D102" s="1">
        <v>194.0</v>
      </c>
      <c r="E102" s="1">
        <v>128.0</v>
      </c>
      <c r="F102" s="1">
        <v>596.0</v>
      </c>
      <c r="G102" s="1">
        <v>139.0</v>
      </c>
      <c r="H102" s="1">
        <v>2393.0</v>
      </c>
      <c r="I102" s="1">
        <v>3458.0</v>
      </c>
      <c r="J102" s="1" t="s">
        <v>15</v>
      </c>
    </row>
    <row r="103">
      <c r="A103" s="1" t="s">
        <v>111</v>
      </c>
      <c r="B103" s="2" t="str">
        <f>"0860011"</f>
        <v>0860011</v>
      </c>
      <c r="C103" s="1" t="s">
        <v>15</v>
      </c>
      <c r="D103" s="1">
        <v>119.0</v>
      </c>
      <c r="E103" s="1">
        <v>94.0</v>
      </c>
      <c r="F103" s="1">
        <v>335.0</v>
      </c>
      <c r="G103" s="1">
        <v>256.0</v>
      </c>
      <c r="H103" s="1">
        <v>1179.0</v>
      </c>
      <c r="I103" s="1">
        <v>2001.0</v>
      </c>
      <c r="J103" s="1" t="s">
        <v>15</v>
      </c>
    </row>
    <row r="104">
      <c r="A104" s="1" t="s">
        <v>112</v>
      </c>
      <c r="B104" s="2" t="str">
        <f>"0880011"</f>
        <v>0880011</v>
      </c>
      <c r="C104" s="1" t="s">
        <v>15</v>
      </c>
      <c r="D104" s="1">
        <v>88.0</v>
      </c>
      <c r="E104" s="1">
        <v>532.0</v>
      </c>
      <c r="F104" s="1">
        <v>1685.0</v>
      </c>
      <c r="G104" s="1">
        <v>200.0</v>
      </c>
      <c r="H104" s="1">
        <v>1577.0</v>
      </c>
      <c r="I104" s="1">
        <v>4095.0</v>
      </c>
      <c r="J104" s="1" t="s">
        <v>15</v>
      </c>
    </row>
    <row r="105">
      <c r="A105" s="1" t="s">
        <v>113</v>
      </c>
      <c r="B105" s="2" t="str">
        <f>"2800013"</f>
        <v>2800013</v>
      </c>
      <c r="C105" s="1">
        <v>0.0</v>
      </c>
      <c r="D105" s="1">
        <v>0.0</v>
      </c>
      <c r="E105" s="1">
        <v>233.0</v>
      </c>
      <c r="F105" s="1">
        <v>187.0</v>
      </c>
      <c r="G105" s="1" t="s">
        <v>15</v>
      </c>
      <c r="H105" s="1" t="s">
        <v>15</v>
      </c>
      <c r="I105" s="1">
        <v>431.0</v>
      </c>
      <c r="J105" s="1">
        <v>0.0</v>
      </c>
    </row>
    <row r="106">
      <c r="A106" s="1" t="s">
        <v>114</v>
      </c>
      <c r="B106" s="2" t="str">
        <f>"0890011"</f>
        <v>0890011</v>
      </c>
      <c r="C106" s="1" t="s">
        <v>15</v>
      </c>
      <c r="D106" s="1">
        <v>206.0</v>
      </c>
      <c r="E106" s="1">
        <v>1067.0</v>
      </c>
      <c r="F106" s="1">
        <v>6857.0</v>
      </c>
      <c r="G106" s="1">
        <v>558.0</v>
      </c>
      <c r="H106" s="1">
        <v>1338.0</v>
      </c>
      <c r="I106" s="1">
        <v>10038.0</v>
      </c>
      <c r="J106" s="1" t="s">
        <v>15</v>
      </c>
    </row>
    <row r="107">
      <c r="A107" s="1" t="s">
        <v>115</v>
      </c>
      <c r="B107" s="2" t="str">
        <f>"0900011"</f>
        <v>0900011</v>
      </c>
      <c r="C107" s="1" t="s">
        <v>15</v>
      </c>
      <c r="D107" s="1">
        <v>303.0</v>
      </c>
      <c r="E107" s="1">
        <v>55.0</v>
      </c>
      <c r="F107" s="1">
        <v>278.0</v>
      </c>
      <c r="G107" s="1">
        <v>219.0</v>
      </c>
      <c r="H107" s="1">
        <v>3194.0</v>
      </c>
      <c r="I107" s="1">
        <v>4060.0</v>
      </c>
      <c r="J107" s="1" t="s">
        <v>15</v>
      </c>
    </row>
    <row r="108">
      <c r="A108" s="1" t="s">
        <v>116</v>
      </c>
      <c r="B108" s="2" t="str">
        <f>"0910011"</f>
        <v>0910011</v>
      </c>
      <c r="C108" s="1" t="s">
        <v>15</v>
      </c>
      <c r="D108" s="1">
        <v>31.0</v>
      </c>
      <c r="E108" s="1">
        <v>48.0</v>
      </c>
      <c r="F108" s="1">
        <v>408.0</v>
      </c>
      <c r="G108" s="1">
        <v>70.0</v>
      </c>
      <c r="H108" s="1">
        <v>1557.0</v>
      </c>
      <c r="I108" s="1">
        <v>2123.0</v>
      </c>
      <c r="J108" s="1" t="s">
        <v>15</v>
      </c>
    </row>
    <row r="109">
      <c r="A109" s="1" t="s">
        <v>117</v>
      </c>
      <c r="B109" s="2" t="str">
        <f>"0920011"</f>
        <v>0920011</v>
      </c>
      <c r="C109" s="1" t="s">
        <v>15</v>
      </c>
      <c r="D109" s="1" t="s">
        <v>15</v>
      </c>
      <c r="E109" s="1">
        <v>0.0</v>
      </c>
      <c r="F109" s="1">
        <v>27.0</v>
      </c>
      <c r="G109" s="1">
        <v>16.0</v>
      </c>
      <c r="H109" s="1">
        <v>388.0</v>
      </c>
      <c r="I109" s="1">
        <v>433.0</v>
      </c>
      <c r="J109" s="1">
        <v>0.0</v>
      </c>
    </row>
    <row r="110">
      <c r="A110" s="1" t="s">
        <v>118</v>
      </c>
      <c r="B110" s="2" t="str">
        <f>"0930011"</f>
        <v>0930011</v>
      </c>
      <c r="C110" s="1">
        <v>35.0</v>
      </c>
      <c r="D110" s="1">
        <v>810.0</v>
      </c>
      <c r="E110" s="1">
        <v>5928.0</v>
      </c>
      <c r="F110" s="1">
        <v>9506.0</v>
      </c>
      <c r="G110" s="1">
        <v>728.0</v>
      </c>
      <c r="H110" s="1">
        <v>1803.0</v>
      </c>
      <c r="I110" s="1">
        <v>18817.0</v>
      </c>
      <c r="J110" s="1">
        <v>7.0</v>
      </c>
    </row>
    <row r="111">
      <c r="A111" s="1" t="s">
        <v>119</v>
      </c>
      <c r="B111" s="2" t="str">
        <f>"0950011"</f>
        <v>0950011</v>
      </c>
      <c r="C111" s="1">
        <v>15.0</v>
      </c>
      <c r="D111" s="1">
        <v>35.0</v>
      </c>
      <c r="E111" s="1">
        <v>492.0</v>
      </c>
      <c r="F111" s="1">
        <v>1712.0</v>
      </c>
      <c r="G111" s="1">
        <v>316.0</v>
      </c>
      <c r="H111" s="1">
        <v>342.0</v>
      </c>
      <c r="I111" s="1">
        <v>2918.0</v>
      </c>
      <c r="J111" s="1">
        <v>6.0</v>
      </c>
    </row>
    <row r="112">
      <c r="A112" s="1" t="s">
        <v>120</v>
      </c>
      <c r="B112" s="2" t="str">
        <f>"0960011"</f>
        <v>0960011</v>
      </c>
      <c r="C112" s="1" t="s">
        <v>15</v>
      </c>
      <c r="D112" s="1">
        <v>126.0</v>
      </c>
      <c r="E112" s="1">
        <v>118.0</v>
      </c>
      <c r="F112" s="1">
        <v>956.0</v>
      </c>
      <c r="G112" s="1">
        <v>94.0</v>
      </c>
      <c r="H112" s="1">
        <v>2232.0</v>
      </c>
      <c r="I112" s="1">
        <v>3532.0</v>
      </c>
      <c r="J112" s="1" t="s">
        <v>15</v>
      </c>
    </row>
    <row r="113">
      <c r="A113" s="1" t="s">
        <v>121</v>
      </c>
      <c r="B113" s="2" t="str">
        <f>"0940011"</f>
        <v>0940011</v>
      </c>
      <c r="C113" s="1" t="s">
        <v>15</v>
      </c>
      <c r="D113" s="1">
        <v>407.0</v>
      </c>
      <c r="E113" s="1">
        <v>229.0</v>
      </c>
      <c r="F113" s="1">
        <v>1043.0</v>
      </c>
      <c r="G113" s="1">
        <v>205.0</v>
      </c>
      <c r="H113" s="1">
        <v>1961.0</v>
      </c>
      <c r="I113" s="1">
        <v>3855.0</v>
      </c>
      <c r="J113" s="1" t="s">
        <v>15</v>
      </c>
    </row>
    <row r="114">
      <c r="A114" s="1" t="s">
        <v>122</v>
      </c>
      <c r="B114" s="2" t="str">
        <f>"0970011"</f>
        <v>0970011</v>
      </c>
      <c r="C114" s="1" t="s">
        <v>15</v>
      </c>
      <c r="D114" s="1">
        <v>85.0</v>
      </c>
      <c r="E114" s="1">
        <v>95.0</v>
      </c>
      <c r="F114" s="1">
        <v>556.0</v>
      </c>
      <c r="G114" s="1">
        <v>69.0</v>
      </c>
      <c r="H114" s="1">
        <v>3111.0</v>
      </c>
      <c r="I114" s="1">
        <v>3924.0</v>
      </c>
      <c r="J114" s="1" t="s">
        <v>15</v>
      </c>
    </row>
    <row r="115">
      <c r="A115" s="1" t="s">
        <v>123</v>
      </c>
      <c r="B115" s="2" t="str">
        <f>"0980011"</f>
        <v>0980011</v>
      </c>
      <c r="C115" s="1">
        <v>0.0</v>
      </c>
      <c r="D115" s="1">
        <v>0.0</v>
      </c>
      <c r="E115" s="1">
        <v>0.0</v>
      </c>
      <c r="F115" s="1" t="s">
        <v>15</v>
      </c>
      <c r="G115" s="1" t="s">
        <v>15</v>
      </c>
      <c r="H115" s="1">
        <v>53.0</v>
      </c>
      <c r="I115" s="1">
        <v>61.0</v>
      </c>
      <c r="J115" s="1">
        <v>0.0</v>
      </c>
    </row>
    <row r="116">
      <c r="A116" s="1" t="s">
        <v>124</v>
      </c>
      <c r="B116" s="2" t="str">
        <f>"0990011"</f>
        <v>0990011</v>
      </c>
      <c r="C116" s="1" t="s">
        <v>15</v>
      </c>
      <c r="D116" s="1">
        <v>32.0</v>
      </c>
      <c r="E116" s="1" t="s">
        <v>15</v>
      </c>
      <c r="F116" s="1">
        <v>166.0</v>
      </c>
      <c r="G116" s="1">
        <v>52.0</v>
      </c>
      <c r="H116" s="1">
        <v>1272.0</v>
      </c>
      <c r="I116" s="1">
        <v>1546.0</v>
      </c>
      <c r="J116" s="1">
        <v>0.0</v>
      </c>
    </row>
    <row r="117">
      <c r="A117" s="1" t="s">
        <v>125</v>
      </c>
      <c r="B117" s="2" t="str">
        <f>"1000011"</f>
        <v>1000011</v>
      </c>
      <c r="C117" s="1">
        <v>0.0</v>
      </c>
      <c r="D117" s="1">
        <v>0.0</v>
      </c>
      <c r="E117" s="1" t="s">
        <v>15</v>
      </c>
      <c r="F117" s="1">
        <v>46.0</v>
      </c>
      <c r="G117" s="1" t="s">
        <v>15</v>
      </c>
      <c r="H117" s="1">
        <v>186.0</v>
      </c>
      <c r="I117" s="1">
        <v>245.0</v>
      </c>
      <c r="J117" s="1">
        <v>0.0</v>
      </c>
    </row>
    <row r="118">
      <c r="A118" s="1" t="s">
        <v>126</v>
      </c>
      <c r="B118" s="2" t="str">
        <f>"1010011"</f>
        <v>1010011</v>
      </c>
      <c r="C118" s="1" t="s">
        <v>15</v>
      </c>
      <c r="D118" s="1">
        <v>279.0</v>
      </c>
      <c r="E118" s="1">
        <v>178.0</v>
      </c>
      <c r="F118" s="1">
        <v>467.0</v>
      </c>
      <c r="G118" s="1" t="s">
        <v>15</v>
      </c>
      <c r="H118" s="1">
        <v>2151.0</v>
      </c>
      <c r="I118" s="1">
        <v>3214.0</v>
      </c>
      <c r="J118" s="1">
        <v>0.0</v>
      </c>
    </row>
    <row r="119">
      <c r="A119" s="1" t="s">
        <v>127</v>
      </c>
      <c r="B119" s="2" t="str">
        <f>"1020011"</f>
        <v>1020011</v>
      </c>
      <c r="C119" s="1" t="s">
        <v>15</v>
      </c>
      <c r="D119" s="1">
        <v>6.0</v>
      </c>
      <c r="E119" s="1">
        <v>6.0</v>
      </c>
      <c r="F119" s="1">
        <v>42.0</v>
      </c>
      <c r="G119" s="1">
        <v>16.0</v>
      </c>
      <c r="H119" s="1">
        <v>650.0</v>
      </c>
      <c r="I119" s="1">
        <v>726.0</v>
      </c>
      <c r="J119" s="1" t="s">
        <v>15</v>
      </c>
    </row>
    <row r="120">
      <c r="A120" s="1" t="s">
        <v>128</v>
      </c>
      <c r="B120" s="2" t="str">
        <f>"1030011"</f>
        <v>1030011</v>
      </c>
      <c r="C120" s="1">
        <v>35.0</v>
      </c>
      <c r="D120" s="1">
        <v>415.0</v>
      </c>
      <c r="E120" s="1">
        <v>1505.0</v>
      </c>
      <c r="F120" s="1">
        <v>6578.0</v>
      </c>
      <c r="G120" s="1">
        <v>425.0</v>
      </c>
      <c r="H120" s="1">
        <v>2505.0</v>
      </c>
      <c r="I120" s="1">
        <v>11473.0</v>
      </c>
      <c r="J120" s="1">
        <v>10.0</v>
      </c>
    </row>
    <row r="121">
      <c r="A121" s="1" t="s">
        <v>129</v>
      </c>
      <c r="B121" s="2" t="str">
        <f>"9010022"</f>
        <v>9010022</v>
      </c>
      <c r="C121" s="1">
        <v>21.0</v>
      </c>
      <c r="D121" s="1">
        <v>143.0</v>
      </c>
      <c r="E121" s="1">
        <v>389.0</v>
      </c>
      <c r="F121" s="1">
        <v>611.0</v>
      </c>
      <c r="G121" s="1">
        <v>108.0</v>
      </c>
      <c r="H121" s="1">
        <v>819.0</v>
      </c>
      <c r="I121" s="1">
        <v>2097.0</v>
      </c>
      <c r="J121" s="1">
        <v>6.0</v>
      </c>
    </row>
    <row r="122">
      <c r="A122" s="1" t="s">
        <v>130</v>
      </c>
      <c r="B122" s="2" t="str">
        <f>"1040011"</f>
        <v>1040011</v>
      </c>
      <c r="C122" s="1">
        <v>7.0</v>
      </c>
      <c r="D122" s="1">
        <v>192.0</v>
      </c>
      <c r="E122" s="1">
        <v>630.0</v>
      </c>
      <c r="F122" s="1">
        <v>1301.0</v>
      </c>
      <c r="G122" s="1">
        <v>285.0</v>
      </c>
      <c r="H122" s="1">
        <v>864.0</v>
      </c>
      <c r="I122" s="1">
        <v>3291.0</v>
      </c>
      <c r="J122" s="1">
        <v>12.0</v>
      </c>
    </row>
    <row r="123">
      <c r="A123" s="1" t="s">
        <v>131</v>
      </c>
      <c r="B123" s="2" t="str">
        <f>"2630013"</f>
        <v>2630013</v>
      </c>
      <c r="C123" s="1" t="s">
        <v>15</v>
      </c>
      <c r="D123" s="1">
        <v>105.0</v>
      </c>
      <c r="E123" s="1">
        <v>92.0</v>
      </c>
      <c r="F123" s="1">
        <v>86.0</v>
      </c>
      <c r="G123" s="1" t="s">
        <v>15</v>
      </c>
      <c r="H123" s="1">
        <v>97.0</v>
      </c>
      <c r="I123" s="1">
        <v>410.0</v>
      </c>
      <c r="J123" s="1">
        <v>0.0</v>
      </c>
    </row>
    <row r="124">
      <c r="A124" s="1" t="s">
        <v>132</v>
      </c>
      <c r="B124" s="2" t="str">
        <f>"1060011"</f>
        <v>1060011</v>
      </c>
      <c r="C124" s="1">
        <v>0.0</v>
      </c>
      <c r="D124" s="1">
        <v>41.0</v>
      </c>
      <c r="E124" s="1" t="s">
        <v>15</v>
      </c>
      <c r="F124" s="1">
        <v>159.0</v>
      </c>
      <c r="G124" s="1">
        <v>35.0</v>
      </c>
      <c r="H124" s="1">
        <v>786.0</v>
      </c>
      <c r="I124" s="1">
        <v>1030.0</v>
      </c>
      <c r="J124" s="1" t="s">
        <v>15</v>
      </c>
    </row>
    <row r="125">
      <c r="A125" s="1" t="s">
        <v>133</v>
      </c>
      <c r="B125" s="2" t="str">
        <f>"1070011"</f>
        <v>1070011</v>
      </c>
      <c r="C125" s="1">
        <v>0.0</v>
      </c>
      <c r="D125" s="1">
        <v>169.0</v>
      </c>
      <c r="E125" s="1">
        <v>31.0</v>
      </c>
      <c r="F125" s="1">
        <v>116.0</v>
      </c>
      <c r="G125" s="1">
        <v>57.0</v>
      </c>
      <c r="H125" s="1">
        <v>881.0</v>
      </c>
      <c r="I125" s="1">
        <v>1254.0</v>
      </c>
      <c r="J125" s="1">
        <v>0.0</v>
      </c>
    </row>
    <row r="126">
      <c r="A126" s="1" t="s">
        <v>134</v>
      </c>
      <c r="B126" s="2" t="str">
        <f>"1080011"</f>
        <v>1080011</v>
      </c>
      <c r="C126" s="1" t="s">
        <v>15</v>
      </c>
      <c r="D126" s="1">
        <v>46.0</v>
      </c>
      <c r="E126" s="1">
        <v>45.0</v>
      </c>
      <c r="F126" s="1">
        <v>205.0</v>
      </c>
      <c r="G126" s="1">
        <v>34.0</v>
      </c>
      <c r="H126" s="1">
        <v>1284.0</v>
      </c>
      <c r="I126" s="1">
        <v>1622.0</v>
      </c>
      <c r="J126" s="1" t="s">
        <v>15</v>
      </c>
    </row>
    <row r="127">
      <c r="A127" s="1" t="s">
        <v>135</v>
      </c>
      <c r="B127" s="2" t="str">
        <f>"2830013"</f>
        <v>2830013</v>
      </c>
      <c r="C127" s="1" t="s">
        <v>15</v>
      </c>
      <c r="D127" s="1" t="s">
        <v>15</v>
      </c>
      <c r="E127" s="1">
        <v>190.0</v>
      </c>
      <c r="F127" s="1">
        <v>206.0</v>
      </c>
      <c r="G127" s="1">
        <v>7.0</v>
      </c>
      <c r="H127" s="1">
        <v>25.0</v>
      </c>
      <c r="I127" s="1">
        <v>434.0</v>
      </c>
      <c r="J127" s="1">
        <v>0.0</v>
      </c>
    </row>
    <row r="128">
      <c r="A128" s="1" t="s">
        <v>136</v>
      </c>
      <c r="B128" s="2" t="str">
        <f>"1090011"</f>
        <v>1090011</v>
      </c>
      <c r="C128" s="1">
        <v>17.0</v>
      </c>
      <c r="D128" s="1">
        <v>26.0</v>
      </c>
      <c r="E128" s="1">
        <v>73.0</v>
      </c>
      <c r="F128" s="1">
        <v>108.0</v>
      </c>
      <c r="G128" s="1">
        <v>60.0</v>
      </c>
      <c r="H128" s="1">
        <v>1594.0</v>
      </c>
      <c r="I128" s="1">
        <v>1886.0</v>
      </c>
      <c r="J128" s="1">
        <v>8.0</v>
      </c>
    </row>
    <row r="129">
      <c r="A129" s="1" t="s">
        <v>137</v>
      </c>
      <c r="B129" s="2" t="str">
        <f>"1100011"</f>
        <v>1100011</v>
      </c>
      <c r="C129" s="1" t="s">
        <v>15</v>
      </c>
      <c r="D129" s="1">
        <v>58.0</v>
      </c>
      <c r="E129" s="1">
        <v>136.0</v>
      </c>
      <c r="F129" s="1">
        <v>567.0</v>
      </c>
      <c r="G129" s="1">
        <v>103.0</v>
      </c>
      <c r="H129" s="1">
        <v>1351.0</v>
      </c>
      <c r="I129" s="1">
        <v>2223.0</v>
      </c>
      <c r="J129" s="1" t="s">
        <v>15</v>
      </c>
    </row>
    <row r="130">
      <c r="A130" s="1" t="s">
        <v>138</v>
      </c>
      <c r="B130" s="2" t="str">
        <f>"1110011"</f>
        <v>1110011</v>
      </c>
      <c r="C130" s="1" t="s">
        <v>15</v>
      </c>
      <c r="D130" s="1" t="s">
        <v>15</v>
      </c>
      <c r="E130" s="1">
        <v>24.0</v>
      </c>
      <c r="F130" s="1">
        <v>220.0</v>
      </c>
      <c r="G130" s="1">
        <v>72.0</v>
      </c>
      <c r="H130" s="1">
        <v>907.0</v>
      </c>
      <c r="I130" s="1">
        <v>1244.0</v>
      </c>
      <c r="J130" s="1">
        <v>0.0</v>
      </c>
    </row>
    <row r="131">
      <c r="A131" s="1" t="s">
        <v>139</v>
      </c>
      <c r="B131" s="2" t="str">
        <f>"1120011"</f>
        <v>1120011</v>
      </c>
      <c r="C131" s="1">
        <v>0.0</v>
      </c>
      <c r="D131" s="1" t="s">
        <v>15</v>
      </c>
      <c r="E131" s="1" t="s">
        <v>15</v>
      </c>
      <c r="F131" s="1">
        <v>19.0</v>
      </c>
      <c r="G131" s="1">
        <v>8.0</v>
      </c>
      <c r="H131" s="1">
        <v>298.0</v>
      </c>
      <c r="I131" s="1">
        <v>333.0</v>
      </c>
      <c r="J131" s="1">
        <v>0.0</v>
      </c>
    </row>
    <row r="132">
      <c r="A132" s="1" t="s">
        <v>140</v>
      </c>
      <c r="B132" s="2" t="str">
        <f>"1130011"</f>
        <v>1130011</v>
      </c>
      <c r="C132" s="1" t="s">
        <v>15</v>
      </c>
      <c r="D132" s="1" t="s">
        <v>15</v>
      </c>
      <c r="E132" s="1">
        <v>57.0</v>
      </c>
      <c r="F132" s="1">
        <v>219.0</v>
      </c>
      <c r="G132" s="1">
        <v>62.0</v>
      </c>
      <c r="H132" s="1">
        <v>893.0</v>
      </c>
      <c r="I132" s="1">
        <v>1250.0</v>
      </c>
      <c r="J132" s="1">
        <v>0.0</v>
      </c>
    </row>
    <row r="133">
      <c r="A133" s="1" t="s">
        <v>141</v>
      </c>
      <c r="B133" s="2" t="str">
        <f>"1140011"</f>
        <v>1140011</v>
      </c>
      <c r="C133" s="1" t="s">
        <v>15</v>
      </c>
      <c r="D133" s="1">
        <v>8.0</v>
      </c>
      <c r="E133" s="1">
        <v>8.0</v>
      </c>
      <c r="F133" s="1">
        <v>41.0</v>
      </c>
      <c r="G133" s="1">
        <v>16.0</v>
      </c>
      <c r="H133" s="1">
        <v>352.0</v>
      </c>
      <c r="I133" s="1">
        <v>432.0</v>
      </c>
      <c r="J133" s="1" t="s">
        <v>15</v>
      </c>
    </row>
    <row r="134">
      <c r="A134" s="1" t="s">
        <v>142</v>
      </c>
      <c r="B134" s="2" t="str">
        <f>"1160011"</f>
        <v>1160011</v>
      </c>
      <c r="C134" s="1" t="s">
        <v>15</v>
      </c>
      <c r="D134" s="1">
        <v>14.0</v>
      </c>
      <c r="E134" s="1">
        <v>17.0</v>
      </c>
      <c r="F134" s="1">
        <v>214.0</v>
      </c>
      <c r="G134" s="1">
        <v>82.0</v>
      </c>
      <c r="H134" s="1">
        <v>845.0</v>
      </c>
      <c r="I134" s="1">
        <v>1176.0</v>
      </c>
      <c r="J134" s="1" t="s">
        <v>15</v>
      </c>
    </row>
    <row r="135">
      <c r="A135" s="1" t="s">
        <v>143</v>
      </c>
      <c r="B135" s="2" t="str">
        <f>"1170011"</f>
        <v>1170011</v>
      </c>
      <c r="C135" s="1" t="s">
        <v>15</v>
      </c>
      <c r="D135" s="1">
        <v>19.0</v>
      </c>
      <c r="E135" s="1">
        <v>10.0</v>
      </c>
      <c r="F135" s="1">
        <v>106.0</v>
      </c>
      <c r="G135" s="1">
        <v>27.0</v>
      </c>
      <c r="H135" s="1">
        <v>690.0</v>
      </c>
      <c r="I135" s="1">
        <v>855.0</v>
      </c>
      <c r="J135" s="1" t="s">
        <v>15</v>
      </c>
    </row>
    <row r="136">
      <c r="A136" s="1" t="s">
        <v>144</v>
      </c>
      <c r="B136" s="2" t="str">
        <f>"2010012"</f>
        <v>2010012</v>
      </c>
      <c r="C136" s="1">
        <v>0.0</v>
      </c>
      <c r="D136" s="1" t="s">
        <v>15</v>
      </c>
      <c r="E136" s="1" t="s">
        <v>15</v>
      </c>
      <c r="F136" s="1">
        <v>45.0</v>
      </c>
      <c r="G136" s="1">
        <v>17.0</v>
      </c>
      <c r="H136" s="1">
        <v>289.0</v>
      </c>
      <c r="I136" s="1">
        <v>356.0</v>
      </c>
      <c r="J136" s="1">
        <v>0.0</v>
      </c>
    </row>
    <row r="137">
      <c r="A137" s="1" t="s">
        <v>145</v>
      </c>
      <c r="B137" s="2" t="str">
        <f>"2040012"</f>
        <v>2040012</v>
      </c>
      <c r="C137" s="1" t="s">
        <v>15</v>
      </c>
      <c r="D137" s="1">
        <v>7.0</v>
      </c>
      <c r="E137" s="1" t="s">
        <v>15</v>
      </c>
      <c r="F137" s="1">
        <v>64.0</v>
      </c>
      <c r="G137" s="1">
        <v>24.0</v>
      </c>
      <c r="H137" s="1">
        <v>543.0</v>
      </c>
      <c r="I137" s="1">
        <v>646.0</v>
      </c>
      <c r="J137" s="1">
        <v>0.0</v>
      </c>
    </row>
    <row r="138">
      <c r="A138" s="1" t="s">
        <v>146</v>
      </c>
      <c r="B138" s="2" t="str">
        <f>"2050012"</f>
        <v>2050012</v>
      </c>
      <c r="C138" s="1" t="s">
        <v>15</v>
      </c>
      <c r="D138" s="1">
        <v>329.0</v>
      </c>
      <c r="E138" s="1" t="s">
        <v>15</v>
      </c>
      <c r="F138" s="1">
        <v>246.0</v>
      </c>
      <c r="G138" s="1">
        <v>101.0</v>
      </c>
      <c r="H138" s="1">
        <v>1390.0</v>
      </c>
      <c r="I138" s="1">
        <v>2138.0</v>
      </c>
      <c r="J138" s="1">
        <v>0.0</v>
      </c>
    </row>
    <row r="139">
      <c r="A139" s="1" t="s">
        <v>147</v>
      </c>
      <c r="B139" s="2" t="str">
        <f>"2070012"</f>
        <v>2070012</v>
      </c>
      <c r="C139" s="1" t="s">
        <v>15</v>
      </c>
      <c r="D139" s="1">
        <v>8.0</v>
      </c>
      <c r="E139" s="1" t="s">
        <v>15</v>
      </c>
      <c r="F139" s="1">
        <v>41.0</v>
      </c>
      <c r="G139" s="1">
        <v>13.0</v>
      </c>
      <c r="H139" s="1">
        <v>749.0</v>
      </c>
      <c r="I139" s="1">
        <v>818.0</v>
      </c>
      <c r="J139" s="1">
        <v>0.0</v>
      </c>
    </row>
    <row r="140">
      <c r="A140" s="1" t="s">
        <v>148</v>
      </c>
      <c r="B140" s="2" t="str">
        <f>"2080012"</f>
        <v>2080012</v>
      </c>
      <c r="C140" s="1" t="s">
        <v>15</v>
      </c>
      <c r="D140" s="1">
        <v>11.0</v>
      </c>
      <c r="E140" s="1">
        <v>12.0</v>
      </c>
      <c r="F140" s="1">
        <v>102.0</v>
      </c>
      <c r="G140" s="1">
        <v>36.0</v>
      </c>
      <c r="H140" s="1">
        <v>912.0</v>
      </c>
      <c r="I140" s="1">
        <v>1075.0</v>
      </c>
      <c r="J140" s="1" t="s">
        <v>15</v>
      </c>
    </row>
    <row r="141">
      <c r="A141" s="1" t="s">
        <v>149</v>
      </c>
      <c r="B141" s="2" t="str">
        <f>"2090012"</f>
        <v>2090012</v>
      </c>
      <c r="C141" s="1">
        <v>0.0</v>
      </c>
      <c r="D141" s="1">
        <v>37.0</v>
      </c>
      <c r="E141" s="1">
        <v>13.0</v>
      </c>
      <c r="F141" s="1">
        <v>77.0</v>
      </c>
      <c r="G141" s="1">
        <v>28.0</v>
      </c>
      <c r="H141" s="1">
        <v>557.0</v>
      </c>
      <c r="I141" s="1">
        <v>712.0</v>
      </c>
      <c r="J141" s="1">
        <v>0.0</v>
      </c>
    </row>
    <row r="142">
      <c r="A142" s="1" t="s">
        <v>150</v>
      </c>
      <c r="B142" s="2" t="str">
        <f>"2100012"</f>
        <v>2100012</v>
      </c>
      <c r="C142" s="1">
        <v>0.0</v>
      </c>
      <c r="D142" s="1">
        <v>18.0</v>
      </c>
      <c r="E142" s="1" t="s">
        <v>15</v>
      </c>
      <c r="F142" s="1">
        <v>173.0</v>
      </c>
      <c r="G142" s="1">
        <v>437.0</v>
      </c>
      <c r="H142" s="1">
        <v>1502.0</v>
      </c>
      <c r="I142" s="1">
        <v>2140.0</v>
      </c>
      <c r="J142" s="1" t="s">
        <v>15</v>
      </c>
    </row>
    <row r="143">
      <c r="A143" s="1" t="s">
        <v>151</v>
      </c>
      <c r="B143" s="2" t="str">
        <f>"2110012"</f>
        <v>2110012</v>
      </c>
      <c r="C143" s="1" t="s">
        <v>15</v>
      </c>
      <c r="D143" s="1" t="s">
        <v>15</v>
      </c>
      <c r="E143" s="1" t="s">
        <v>15</v>
      </c>
      <c r="F143" s="1">
        <v>21.0</v>
      </c>
      <c r="G143" s="1" t="s">
        <v>15</v>
      </c>
      <c r="H143" s="1">
        <v>160.0</v>
      </c>
      <c r="I143" s="1">
        <v>194.0</v>
      </c>
      <c r="J143" s="1">
        <v>0.0</v>
      </c>
    </row>
    <row r="144">
      <c r="A144" s="1" t="s">
        <v>152</v>
      </c>
      <c r="B144" s="2" t="str">
        <f>"2120012"</f>
        <v>2120012</v>
      </c>
      <c r="C144" s="1">
        <v>0.0</v>
      </c>
      <c r="D144" s="1" t="s">
        <v>15</v>
      </c>
      <c r="E144" s="1" t="s">
        <v>15</v>
      </c>
      <c r="F144" s="1">
        <v>91.0</v>
      </c>
      <c r="G144" s="1">
        <v>30.0</v>
      </c>
      <c r="H144" s="1">
        <v>669.0</v>
      </c>
      <c r="I144" s="1">
        <v>798.0</v>
      </c>
      <c r="J144" s="1">
        <v>0.0</v>
      </c>
    </row>
    <row r="145">
      <c r="A145" s="1" t="s">
        <v>153</v>
      </c>
      <c r="B145" s="2" t="str">
        <f>"2130012"</f>
        <v>2130012</v>
      </c>
      <c r="C145" s="1" t="s">
        <v>15</v>
      </c>
      <c r="D145" s="1">
        <v>18.0</v>
      </c>
      <c r="E145" s="1" t="s">
        <v>15</v>
      </c>
      <c r="F145" s="1">
        <v>117.0</v>
      </c>
      <c r="G145" s="1">
        <v>40.0</v>
      </c>
      <c r="H145" s="1">
        <v>1150.0</v>
      </c>
      <c r="I145" s="1">
        <v>1339.0</v>
      </c>
      <c r="J145" s="1">
        <v>0.0</v>
      </c>
    </row>
    <row r="146">
      <c r="A146" s="1" t="s">
        <v>154</v>
      </c>
      <c r="B146" s="2" t="str">
        <f>"2140012"</f>
        <v>2140012</v>
      </c>
      <c r="C146" s="1" t="s">
        <v>15</v>
      </c>
      <c r="D146" s="1">
        <v>12.0</v>
      </c>
      <c r="E146" s="1">
        <v>23.0</v>
      </c>
      <c r="F146" s="1">
        <v>250.0</v>
      </c>
      <c r="G146" s="1">
        <v>56.0</v>
      </c>
      <c r="H146" s="1">
        <v>1216.0</v>
      </c>
      <c r="I146" s="1">
        <v>1561.0</v>
      </c>
      <c r="J146" s="1" t="s">
        <v>15</v>
      </c>
    </row>
    <row r="147">
      <c r="A147" s="1" t="s">
        <v>155</v>
      </c>
      <c r="B147" s="2" t="str">
        <f>"2150012"</f>
        <v>2150012</v>
      </c>
      <c r="C147" s="1" t="s">
        <v>15</v>
      </c>
      <c r="D147" s="1">
        <v>159.0</v>
      </c>
      <c r="E147" s="1">
        <v>76.0</v>
      </c>
      <c r="F147" s="1">
        <v>353.0</v>
      </c>
      <c r="G147" s="1">
        <v>123.0</v>
      </c>
      <c r="H147" s="1">
        <v>2652.0</v>
      </c>
      <c r="I147" s="1">
        <v>3368.0</v>
      </c>
      <c r="J147" s="1" t="s">
        <v>15</v>
      </c>
    </row>
    <row r="148">
      <c r="A148" s="1" t="s">
        <v>156</v>
      </c>
      <c r="B148" s="2" t="str">
        <f>"2160012"</f>
        <v>2160012</v>
      </c>
      <c r="C148" s="1" t="s">
        <v>15</v>
      </c>
      <c r="D148" s="1" t="s">
        <v>15</v>
      </c>
      <c r="E148" s="1">
        <v>79.0</v>
      </c>
      <c r="F148" s="1">
        <v>231.0</v>
      </c>
      <c r="G148" s="1">
        <v>60.0</v>
      </c>
      <c r="H148" s="1">
        <v>1495.0</v>
      </c>
      <c r="I148" s="1">
        <v>1898.0</v>
      </c>
      <c r="J148" s="1">
        <v>0.0</v>
      </c>
    </row>
    <row r="149">
      <c r="A149" s="1" t="s">
        <v>157</v>
      </c>
      <c r="B149" s="2" t="str">
        <f>"2170012"</f>
        <v>2170012</v>
      </c>
      <c r="C149" s="1" t="s">
        <v>15</v>
      </c>
      <c r="D149" s="1">
        <v>22.0</v>
      </c>
      <c r="E149" s="1" t="s">
        <v>15</v>
      </c>
      <c r="F149" s="1">
        <v>86.0</v>
      </c>
      <c r="G149" s="1">
        <v>57.0</v>
      </c>
      <c r="H149" s="1">
        <v>1529.0</v>
      </c>
      <c r="I149" s="1">
        <v>1716.0</v>
      </c>
      <c r="J149" s="1">
        <v>0.0</v>
      </c>
    </row>
    <row r="150">
      <c r="A150" s="1" t="s">
        <v>158</v>
      </c>
      <c r="B150" s="2" t="str">
        <f>"2180012"</f>
        <v>2180012</v>
      </c>
      <c r="C150" s="1">
        <v>0.0</v>
      </c>
      <c r="D150" s="1">
        <v>37.0</v>
      </c>
      <c r="E150" s="1">
        <v>8.0</v>
      </c>
      <c r="F150" s="1">
        <v>88.0</v>
      </c>
      <c r="G150" s="1">
        <v>54.0</v>
      </c>
      <c r="H150" s="1">
        <v>1094.0</v>
      </c>
      <c r="I150" s="1">
        <v>1281.0</v>
      </c>
      <c r="J150" s="1">
        <v>0.0</v>
      </c>
    </row>
    <row r="151">
      <c r="A151" s="1" t="s">
        <v>159</v>
      </c>
      <c r="B151" s="2" t="str">
        <f>"2190012"</f>
        <v>2190012</v>
      </c>
      <c r="C151" s="1" t="s">
        <v>15</v>
      </c>
      <c r="D151" s="1">
        <v>73.0</v>
      </c>
      <c r="E151" s="1">
        <v>36.0</v>
      </c>
      <c r="F151" s="1">
        <v>152.0</v>
      </c>
      <c r="G151" s="1" t="s">
        <v>15</v>
      </c>
      <c r="H151" s="1">
        <v>774.0</v>
      </c>
      <c r="I151" s="1">
        <v>1061.0</v>
      </c>
      <c r="J151" s="1">
        <v>0.0</v>
      </c>
    </row>
    <row r="152">
      <c r="A152" s="1" t="s">
        <v>160</v>
      </c>
      <c r="B152" s="2" t="str">
        <f>"2200012"</f>
        <v>2200012</v>
      </c>
      <c r="C152" s="1" t="s">
        <v>15</v>
      </c>
      <c r="D152" s="1" t="s">
        <v>15</v>
      </c>
      <c r="E152" s="1">
        <v>21.0</v>
      </c>
      <c r="F152" s="1">
        <v>111.0</v>
      </c>
      <c r="G152" s="1">
        <v>42.0</v>
      </c>
      <c r="H152" s="1">
        <v>1430.0</v>
      </c>
      <c r="I152" s="1">
        <v>1619.0</v>
      </c>
      <c r="J152" s="1">
        <v>0.0</v>
      </c>
    </row>
    <row r="153">
      <c r="A153" s="1" t="s">
        <v>161</v>
      </c>
      <c r="B153" s="2" t="str">
        <f>"1180011"</f>
        <v>1180011</v>
      </c>
      <c r="C153" s="1" t="s">
        <v>15</v>
      </c>
      <c r="D153" s="1">
        <v>287.0</v>
      </c>
      <c r="E153" s="1">
        <v>33.0</v>
      </c>
      <c r="F153" s="1">
        <v>429.0</v>
      </c>
      <c r="G153" s="1">
        <v>216.0</v>
      </c>
      <c r="H153" s="1">
        <v>3509.0</v>
      </c>
      <c r="I153" s="1">
        <v>4484.0</v>
      </c>
      <c r="J153" s="1" t="s">
        <v>15</v>
      </c>
    </row>
    <row r="154">
      <c r="A154" s="1" t="s">
        <v>162</v>
      </c>
      <c r="B154" s="2" t="str">
        <f>"1190011"</f>
        <v>1190011</v>
      </c>
      <c r="C154" s="1" t="s">
        <v>15</v>
      </c>
      <c r="D154" s="1">
        <v>775.0</v>
      </c>
      <c r="E154" s="1">
        <v>114.0</v>
      </c>
      <c r="F154" s="1">
        <v>317.0</v>
      </c>
      <c r="G154" s="1">
        <v>107.0</v>
      </c>
      <c r="H154" s="1">
        <v>1224.0</v>
      </c>
      <c r="I154" s="1">
        <v>2539.0</v>
      </c>
      <c r="J154" s="1" t="s">
        <v>15</v>
      </c>
    </row>
    <row r="155">
      <c r="A155" s="1" t="s">
        <v>163</v>
      </c>
      <c r="B155" s="2" t="str">
        <f>"1210011"</f>
        <v>1210011</v>
      </c>
      <c r="C155" s="1" t="s">
        <v>15</v>
      </c>
      <c r="D155" s="1" t="s">
        <v>15</v>
      </c>
      <c r="E155" s="1">
        <v>6.0</v>
      </c>
      <c r="F155" s="1">
        <v>38.0</v>
      </c>
      <c r="G155" s="1">
        <v>23.0</v>
      </c>
      <c r="H155" s="1">
        <v>320.0</v>
      </c>
      <c r="I155" s="1">
        <v>392.0</v>
      </c>
      <c r="J155" s="1">
        <v>0.0</v>
      </c>
    </row>
    <row r="156">
      <c r="A156" s="1" t="s">
        <v>164</v>
      </c>
      <c r="B156" s="2" t="str">
        <f>"1220011"</f>
        <v>1220011</v>
      </c>
      <c r="C156" s="1">
        <v>0.0</v>
      </c>
      <c r="D156" s="1" t="s">
        <v>15</v>
      </c>
      <c r="E156" s="1">
        <v>11.0</v>
      </c>
      <c r="F156" s="1">
        <v>28.0</v>
      </c>
      <c r="G156" s="1">
        <v>24.0</v>
      </c>
      <c r="H156" s="1">
        <v>221.0</v>
      </c>
      <c r="I156" s="1">
        <v>288.0</v>
      </c>
      <c r="J156" s="1" t="s">
        <v>15</v>
      </c>
    </row>
    <row r="157">
      <c r="A157" s="1" t="s">
        <v>165</v>
      </c>
      <c r="B157" s="2" t="str">
        <f>"1230011"</f>
        <v>1230011</v>
      </c>
      <c r="C157" s="1">
        <v>0.0</v>
      </c>
      <c r="D157" s="1">
        <v>0.0</v>
      </c>
      <c r="E157" s="1" t="s">
        <v>15</v>
      </c>
      <c r="F157" s="1" t="s">
        <v>15</v>
      </c>
      <c r="G157" s="1">
        <v>0.0</v>
      </c>
      <c r="H157" s="1">
        <v>85.0</v>
      </c>
      <c r="I157" s="1">
        <v>96.0</v>
      </c>
      <c r="J157" s="1">
        <v>0.0</v>
      </c>
    </row>
    <row r="158">
      <c r="A158" s="1" t="s">
        <v>166</v>
      </c>
      <c r="B158" s="2" t="str">
        <f>"1240011"</f>
        <v>1240011</v>
      </c>
      <c r="C158" s="1">
        <v>0.0</v>
      </c>
      <c r="D158" s="1">
        <v>81.0</v>
      </c>
      <c r="E158" s="1">
        <v>168.0</v>
      </c>
      <c r="F158" s="1">
        <v>470.0</v>
      </c>
      <c r="G158" s="1">
        <v>56.0</v>
      </c>
      <c r="H158" s="1">
        <v>1328.0</v>
      </c>
      <c r="I158" s="1">
        <v>2103.0</v>
      </c>
      <c r="J158" s="1">
        <v>0.0</v>
      </c>
    </row>
    <row r="159">
      <c r="A159" s="1" t="s">
        <v>167</v>
      </c>
      <c r="B159" s="2" t="str">
        <f>"1250011"</f>
        <v>1250011</v>
      </c>
      <c r="C159" s="1">
        <v>0.0</v>
      </c>
      <c r="D159" s="1">
        <v>0.0</v>
      </c>
      <c r="E159" s="1" t="s">
        <v>15</v>
      </c>
      <c r="F159" s="1">
        <v>14.0</v>
      </c>
      <c r="G159" s="1" t="s">
        <v>15</v>
      </c>
      <c r="H159" s="1">
        <v>79.0</v>
      </c>
      <c r="I159" s="1">
        <v>97.0</v>
      </c>
      <c r="J159" s="1">
        <v>0.0</v>
      </c>
    </row>
    <row r="160">
      <c r="A160" s="1" t="s">
        <v>168</v>
      </c>
      <c r="B160" s="2" t="str">
        <f>"1260011"</f>
        <v>1260011</v>
      </c>
      <c r="C160" s="1" t="s">
        <v>15</v>
      </c>
      <c r="D160" s="1">
        <v>237.0</v>
      </c>
      <c r="E160" s="1">
        <v>458.0</v>
      </c>
      <c r="F160" s="1">
        <v>1131.0</v>
      </c>
      <c r="G160" s="1">
        <v>192.0</v>
      </c>
      <c r="H160" s="1">
        <v>2490.0</v>
      </c>
      <c r="I160" s="1">
        <v>4518.0</v>
      </c>
      <c r="J160" s="1" t="s">
        <v>15</v>
      </c>
    </row>
    <row r="161">
      <c r="A161" s="1" t="s">
        <v>169</v>
      </c>
      <c r="B161" s="2" t="str">
        <f>"1270011"</f>
        <v>1270011</v>
      </c>
      <c r="C161" s="1">
        <v>0.0</v>
      </c>
      <c r="D161" s="1" t="s">
        <v>15</v>
      </c>
      <c r="E161" s="1" t="s">
        <v>15</v>
      </c>
      <c r="F161" s="1">
        <v>19.0</v>
      </c>
      <c r="G161" s="1">
        <v>16.0</v>
      </c>
      <c r="H161" s="1">
        <v>193.0</v>
      </c>
      <c r="I161" s="1">
        <v>231.0</v>
      </c>
      <c r="J161" s="1">
        <v>0.0</v>
      </c>
    </row>
    <row r="162">
      <c r="A162" s="1" t="s">
        <v>170</v>
      </c>
      <c r="B162" s="2" t="str">
        <f>"2700013"</f>
        <v>2700013</v>
      </c>
      <c r="C162" s="1">
        <v>0.0</v>
      </c>
      <c r="D162" s="1" t="s">
        <v>15</v>
      </c>
      <c r="E162" s="1">
        <v>52.0</v>
      </c>
      <c r="F162" s="1">
        <v>144.0</v>
      </c>
      <c r="G162" s="1" t="s">
        <v>15</v>
      </c>
      <c r="H162" s="1">
        <v>23.0</v>
      </c>
      <c r="I162" s="1">
        <v>236.0</v>
      </c>
      <c r="J162" s="1">
        <v>0.0</v>
      </c>
    </row>
    <row r="163">
      <c r="A163" s="1" t="s">
        <v>171</v>
      </c>
      <c r="B163" s="2" t="str">
        <f>"1280011"</f>
        <v>1280011</v>
      </c>
      <c r="C163" s="1" t="s">
        <v>15</v>
      </c>
      <c r="D163" s="1">
        <v>259.0</v>
      </c>
      <c r="E163" s="1">
        <v>259.0</v>
      </c>
      <c r="F163" s="1">
        <v>463.0</v>
      </c>
      <c r="G163" s="1">
        <v>230.0</v>
      </c>
      <c r="H163" s="1">
        <v>2913.0</v>
      </c>
      <c r="I163" s="1">
        <v>4127.0</v>
      </c>
      <c r="J163" s="1" t="s">
        <v>15</v>
      </c>
    </row>
    <row r="164">
      <c r="A164" s="1" t="s">
        <v>172</v>
      </c>
      <c r="B164" s="2" t="str">
        <f>"1290011"</f>
        <v>1290011</v>
      </c>
      <c r="C164" s="1" t="s">
        <v>15</v>
      </c>
      <c r="D164" s="1" t="s">
        <v>15</v>
      </c>
      <c r="E164" s="1">
        <v>33.0</v>
      </c>
      <c r="F164" s="1">
        <v>101.0</v>
      </c>
      <c r="G164" s="1">
        <v>29.0</v>
      </c>
      <c r="H164" s="1">
        <v>1169.0</v>
      </c>
      <c r="I164" s="1">
        <v>1347.0</v>
      </c>
      <c r="J164" s="1">
        <v>0.0</v>
      </c>
    </row>
    <row r="165">
      <c r="A165" s="1" t="s">
        <v>173</v>
      </c>
      <c r="B165" s="2" t="str">
        <f>"1320011"</f>
        <v>1320011</v>
      </c>
      <c r="C165" s="1" t="s">
        <v>15</v>
      </c>
      <c r="D165" s="1">
        <v>1783.0</v>
      </c>
      <c r="E165" s="1">
        <v>301.0</v>
      </c>
      <c r="F165" s="1">
        <v>556.0</v>
      </c>
      <c r="G165" s="1">
        <v>235.0</v>
      </c>
      <c r="H165" s="1">
        <v>2234.0</v>
      </c>
      <c r="I165" s="1">
        <v>5125.0</v>
      </c>
      <c r="J165" s="1" t="s">
        <v>15</v>
      </c>
    </row>
    <row r="166">
      <c r="A166" s="1" t="s">
        <v>174</v>
      </c>
      <c r="B166" s="2" t="str">
        <f>"1310011"</f>
        <v>1310011</v>
      </c>
      <c r="C166" s="1" t="s">
        <v>15</v>
      </c>
      <c r="D166" s="1">
        <v>317.0</v>
      </c>
      <c r="E166" s="1">
        <v>156.0</v>
      </c>
      <c r="F166" s="1">
        <v>841.0</v>
      </c>
      <c r="G166" s="1">
        <v>324.0</v>
      </c>
      <c r="H166" s="1">
        <v>4558.0</v>
      </c>
      <c r="I166" s="1">
        <v>6200.0</v>
      </c>
      <c r="J166" s="1" t="s">
        <v>15</v>
      </c>
    </row>
    <row r="167">
      <c r="A167" s="1" t="s">
        <v>175</v>
      </c>
      <c r="B167" s="2" t="str">
        <f>"1330011"</f>
        <v>1330011</v>
      </c>
      <c r="C167" s="1" t="s">
        <v>15</v>
      </c>
      <c r="D167" s="1" t="s">
        <v>15</v>
      </c>
      <c r="E167" s="1" t="s">
        <v>15</v>
      </c>
      <c r="F167" s="1">
        <v>45.0</v>
      </c>
      <c r="G167" s="1">
        <v>37.0</v>
      </c>
      <c r="H167" s="1">
        <v>173.0</v>
      </c>
      <c r="I167" s="1">
        <v>265.0</v>
      </c>
      <c r="J167" s="1">
        <v>0.0</v>
      </c>
    </row>
    <row r="168">
      <c r="A168" s="1" t="s">
        <v>176</v>
      </c>
      <c r="B168" s="2" t="str">
        <f>"1340011"</f>
        <v>1340011</v>
      </c>
      <c r="C168" s="1" t="s">
        <v>15</v>
      </c>
      <c r="D168" s="1" t="s">
        <v>15</v>
      </c>
      <c r="E168" s="1">
        <v>16.0</v>
      </c>
      <c r="F168" s="1">
        <v>118.0</v>
      </c>
      <c r="G168" s="1">
        <v>41.0</v>
      </c>
      <c r="H168" s="1">
        <v>1076.0</v>
      </c>
      <c r="I168" s="1">
        <v>1266.0</v>
      </c>
      <c r="J168" s="1">
        <v>0.0</v>
      </c>
    </row>
    <row r="169">
      <c r="A169" s="1" t="s">
        <v>177</v>
      </c>
      <c r="B169" s="2" t="str">
        <f>"2960013"</f>
        <v>2960013</v>
      </c>
      <c r="C169" s="1" t="s">
        <v>15</v>
      </c>
      <c r="D169" s="1">
        <v>118.0</v>
      </c>
      <c r="E169" s="1">
        <v>219.0</v>
      </c>
      <c r="F169" s="1">
        <v>170.0</v>
      </c>
      <c r="G169" s="1">
        <v>16.0</v>
      </c>
      <c r="H169" s="1">
        <v>15.0</v>
      </c>
      <c r="I169" s="1">
        <v>543.0</v>
      </c>
      <c r="J169" s="1" t="s">
        <v>15</v>
      </c>
    </row>
    <row r="170">
      <c r="A170" s="1" t="s">
        <v>178</v>
      </c>
      <c r="B170" s="2" t="str">
        <f>"1350011"</f>
        <v>1350011</v>
      </c>
      <c r="C170" s="1">
        <v>28.0</v>
      </c>
      <c r="D170" s="1">
        <v>926.0</v>
      </c>
      <c r="E170" s="1">
        <v>2056.0</v>
      </c>
      <c r="F170" s="1">
        <v>8805.0</v>
      </c>
      <c r="G170" s="1">
        <v>550.0</v>
      </c>
      <c r="H170" s="1">
        <v>3808.0</v>
      </c>
      <c r="I170" s="1">
        <v>16185.0</v>
      </c>
      <c r="J170" s="1">
        <v>12.0</v>
      </c>
    </row>
    <row r="171">
      <c r="A171" s="1" t="s">
        <v>179</v>
      </c>
      <c r="B171" s="2" t="str">
        <f>"1360011"</f>
        <v>1360011</v>
      </c>
      <c r="C171" s="1" t="s">
        <v>15</v>
      </c>
      <c r="D171" s="1" t="s">
        <v>15</v>
      </c>
      <c r="E171" s="1" t="s">
        <v>15</v>
      </c>
      <c r="F171" s="1">
        <v>24.0</v>
      </c>
      <c r="G171" s="1">
        <v>30.0</v>
      </c>
      <c r="H171" s="1">
        <v>248.0</v>
      </c>
      <c r="I171" s="1">
        <v>310.0</v>
      </c>
      <c r="J171" s="1">
        <v>0.0</v>
      </c>
    </row>
    <row r="172">
      <c r="A172" s="1" t="s">
        <v>180</v>
      </c>
      <c r="B172" s="2" t="str">
        <f>"1370011"</f>
        <v>1370011</v>
      </c>
      <c r="C172" s="1" t="s">
        <v>15</v>
      </c>
      <c r="D172" s="1">
        <v>24.0</v>
      </c>
      <c r="E172" s="1">
        <v>15.0</v>
      </c>
      <c r="F172" s="1">
        <v>127.0</v>
      </c>
      <c r="G172" s="1">
        <v>109.0</v>
      </c>
      <c r="H172" s="1">
        <v>1444.0</v>
      </c>
      <c r="I172" s="1">
        <v>1722.0</v>
      </c>
      <c r="J172" s="1" t="s">
        <v>15</v>
      </c>
    </row>
    <row r="173">
      <c r="A173" s="1" t="s">
        <v>181</v>
      </c>
      <c r="B173" s="2" t="str">
        <f>"1380011"</f>
        <v>1380011</v>
      </c>
      <c r="C173" s="1">
        <v>8.0</v>
      </c>
      <c r="D173" s="1">
        <v>140.0</v>
      </c>
      <c r="E173" s="1">
        <v>1743.0</v>
      </c>
      <c r="F173" s="1">
        <v>2875.0</v>
      </c>
      <c r="G173" s="1">
        <v>234.0</v>
      </c>
      <c r="H173" s="1">
        <v>1571.0</v>
      </c>
      <c r="I173" s="1">
        <v>6578.0</v>
      </c>
      <c r="J173" s="1">
        <v>7.0</v>
      </c>
    </row>
    <row r="174">
      <c r="A174" s="1" t="s">
        <v>182</v>
      </c>
      <c r="B174" s="2" t="str">
        <f>"1390011"</f>
        <v>1390011</v>
      </c>
      <c r="C174" s="1">
        <v>7.0</v>
      </c>
      <c r="D174" s="1">
        <v>88.0</v>
      </c>
      <c r="E174" s="1">
        <v>83.0</v>
      </c>
      <c r="F174" s="1">
        <v>191.0</v>
      </c>
      <c r="G174" s="1" t="s">
        <v>15</v>
      </c>
      <c r="H174" s="1">
        <v>1652.0</v>
      </c>
      <c r="I174" s="1">
        <v>2027.0</v>
      </c>
      <c r="J174" s="1" t="s">
        <v>15</v>
      </c>
    </row>
    <row r="175">
      <c r="A175" s="1" t="s">
        <v>183</v>
      </c>
      <c r="B175" s="2" t="str">
        <f>"2690013"</f>
        <v>2690013</v>
      </c>
      <c r="C175" s="1">
        <v>0.0</v>
      </c>
      <c r="D175" s="1" t="s">
        <v>15</v>
      </c>
      <c r="E175" s="1">
        <v>140.0</v>
      </c>
      <c r="F175" s="1">
        <v>127.0</v>
      </c>
      <c r="G175" s="1">
        <v>7.0</v>
      </c>
      <c r="H175" s="1" t="s">
        <v>15</v>
      </c>
      <c r="I175" s="1">
        <v>281.0</v>
      </c>
      <c r="J175" s="1" t="s">
        <v>15</v>
      </c>
    </row>
    <row r="176">
      <c r="A176" s="1" t="s">
        <v>184</v>
      </c>
      <c r="B176" s="2" t="str">
        <f>"9020022"</f>
        <v>9020022</v>
      </c>
      <c r="C176" s="1">
        <v>0.0</v>
      </c>
      <c r="D176" s="1">
        <v>17.0</v>
      </c>
      <c r="E176" s="1">
        <v>14.0</v>
      </c>
      <c r="F176" s="1">
        <v>95.0</v>
      </c>
      <c r="G176" s="1">
        <v>24.0</v>
      </c>
      <c r="H176" s="1">
        <v>302.0</v>
      </c>
      <c r="I176" s="1">
        <v>452.0</v>
      </c>
      <c r="J176" s="1">
        <v>0.0</v>
      </c>
    </row>
    <row r="177">
      <c r="A177" s="1" t="s">
        <v>185</v>
      </c>
      <c r="B177" s="2" t="str">
        <f>"9030022"</f>
        <v>9030022</v>
      </c>
      <c r="C177" s="1" t="s">
        <v>15</v>
      </c>
      <c r="D177" s="1">
        <v>68.0</v>
      </c>
      <c r="E177" s="1">
        <v>26.0</v>
      </c>
      <c r="F177" s="1">
        <v>82.0</v>
      </c>
      <c r="G177" s="1">
        <v>26.0</v>
      </c>
      <c r="H177" s="1">
        <v>814.0</v>
      </c>
      <c r="I177" s="1">
        <v>1022.0</v>
      </c>
      <c r="J177" s="1" t="s">
        <v>15</v>
      </c>
    </row>
    <row r="178">
      <c r="A178" s="1" t="s">
        <v>186</v>
      </c>
      <c r="B178" s="2" t="str">
        <f>"1400011"</f>
        <v>1400011</v>
      </c>
      <c r="C178" s="1">
        <v>0.0</v>
      </c>
      <c r="D178" s="1">
        <v>18.0</v>
      </c>
      <c r="E178" s="1">
        <v>14.0</v>
      </c>
      <c r="F178" s="1">
        <v>95.0</v>
      </c>
      <c r="G178" s="1">
        <v>28.0</v>
      </c>
      <c r="H178" s="1">
        <v>622.0</v>
      </c>
      <c r="I178" s="1">
        <v>777.0</v>
      </c>
      <c r="J178" s="1">
        <v>0.0</v>
      </c>
    </row>
    <row r="179">
      <c r="A179" s="1" t="s">
        <v>187</v>
      </c>
      <c r="B179" s="2" t="str">
        <f>"1410011"</f>
        <v>1410011</v>
      </c>
      <c r="C179" s="1" t="s">
        <v>15</v>
      </c>
      <c r="D179" s="1">
        <v>12.0</v>
      </c>
      <c r="E179" s="1" t="s">
        <v>15</v>
      </c>
      <c r="F179" s="1">
        <v>73.0</v>
      </c>
      <c r="G179" s="1">
        <v>32.0</v>
      </c>
      <c r="H179" s="1">
        <v>700.0</v>
      </c>
      <c r="I179" s="1">
        <v>826.0</v>
      </c>
      <c r="J179" s="1">
        <v>0.0</v>
      </c>
    </row>
    <row r="180">
      <c r="A180" s="1" t="s">
        <v>188</v>
      </c>
      <c r="B180" s="2" t="str">
        <f>"1420011"</f>
        <v>1420011</v>
      </c>
      <c r="C180" s="1" t="s">
        <v>15</v>
      </c>
      <c r="D180" s="1">
        <v>72.0</v>
      </c>
      <c r="E180" s="1">
        <v>63.0</v>
      </c>
      <c r="F180" s="1">
        <v>215.0</v>
      </c>
      <c r="G180" s="1">
        <v>83.0</v>
      </c>
      <c r="H180" s="1">
        <v>1706.0</v>
      </c>
      <c r="I180" s="1">
        <v>2144.0</v>
      </c>
      <c r="J180" s="1" t="s">
        <v>15</v>
      </c>
    </row>
    <row r="181">
      <c r="A181" s="1" t="s">
        <v>189</v>
      </c>
      <c r="B181" s="2" t="str">
        <f>"1430011"</f>
        <v>1430011</v>
      </c>
      <c r="C181" s="1">
        <v>8.0</v>
      </c>
      <c r="D181" s="1">
        <v>163.0</v>
      </c>
      <c r="E181" s="1">
        <v>259.0</v>
      </c>
      <c r="F181" s="1">
        <v>1688.0</v>
      </c>
      <c r="G181" s="1">
        <v>83.0</v>
      </c>
      <c r="H181" s="1">
        <v>1703.0</v>
      </c>
      <c r="I181" s="1">
        <v>3911.0</v>
      </c>
      <c r="J181" s="1">
        <v>7.0</v>
      </c>
    </row>
    <row r="182">
      <c r="A182" s="1" t="s">
        <v>190</v>
      </c>
      <c r="B182" s="2" t="str">
        <f>"1440011"</f>
        <v>1440011</v>
      </c>
      <c r="C182" s="1">
        <v>10.0</v>
      </c>
      <c r="D182" s="1">
        <v>759.0</v>
      </c>
      <c r="E182" s="1">
        <v>513.0</v>
      </c>
      <c r="F182" s="1">
        <v>1440.0</v>
      </c>
      <c r="G182" s="1">
        <v>215.0</v>
      </c>
      <c r="H182" s="1">
        <v>3999.0</v>
      </c>
      <c r="I182" s="1">
        <v>6943.0</v>
      </c>
      <c r="J182" s="1">
        <v>7.0</v>
      </c>
    </row>
    <row r="183">
      <c r="A183" s="1" t="s">
        <v>191</v>
      </c>
      <c r="B183" s="2" t="str">
        <f>"3360015"</f>
        <v>3360015</v>
      </c>
      <c r="C183" s="1">
        <v>0.0</v>
      </c>
      <c r="D183" s="1" t="s">
        <v>15</v>
      </c>
      <c r="E183" s="1">
        <v>63.0</v>
      </c>
      <c r="F183" s="1">
        <v>61.0</v>
      </c>
      <c r="G183" s="1" t="s">
        <v>15</v>
      </c>
      <c r="H183" s="1">
        <v>14.0</v>
      </c>
      <c r="I183" s="1">
        <v>145.0</v>
      </c>
      <c r="J183" s="1">
        <v>0.0</v>
      </c>
    </row>
    <row r="184">
      <c r="A184" s="1" t="s">
        <v>192</v>
      </c>
      <c r="B184" s="2" t="str">
        <f>"3470015"</f>
        <v>3470015</v>
      </c>
      <c r="C184" s="1">
        <v>0.0</v>
      </c>
      <c r="D184" s="1">
        <v>0.0</v>
      </c>
      <c r="E184" s="1">
        <v>20.0</v>
      </c>
      <c r="F184" s="1">
        <v>27.0</v>
      </c>
      <c r="G184" s="1">
        <v>6.0</v>
      </c>
      <c r="H184" s="1">
        <v>27.0</v>
      </c>
      <c r="I184" s="1">
        <v>80.0</v>
      </c>
      <c r="J184" s="1">
        <v>0.0</v>
      </c>
    </row>
    <row r="185">
      <c r="A185" s="1" t="s">
        <v>193</v>
      </c>
      <c r="B185" s="2" t="str">
        <f>"1450011"</f>
        <v>1450011</v>
      </c>
      <c r="C185" s="1">
        <v>0.0</v>
      </c>
      <c r="D185" s="1">
        <v>0.0</v>
      </c>
      <c r="E185" s="1">
        <v>0.0</v>
      </c>
      <c r="F185" s="1" t="s">
        <v>15</v>
      </c>
      <c r="G185" s="1" t="s">
        <v>15</v>
      </c>
      <c r="H185" s="1">
        <v>46.0</v>
      </c>
      <c r="I185" s="1" t="s">
        <v>15</v>
      </c>
      <c r="J185" s="1">
        <v>0.0</v>
      </c>
    </row>
    <row r="186">
      <c r="A186" s="1" t="s">
        <v>194</v>
      </c>
      <c r="B186" s="2" t="str">
        <f>"1460011"</f>
        <v>1460011</v>
      </c>
      <c r="C186" s="1" t="s">
        <v>15</v>
      </c>
      <c r="D186" s="1">
        <v>223.0</v>
      </c>
      <c r="E186" s="1">
        <v>346.0</v>
      </c>
      <c r="F186" s="1">
        <v>801.0</v>
      </c>
      <c r="G186" s="1">
        <v>306.0</v>
      </c>
      <c r="H186" s="1">
        <v>1558.0</v>
      </c>
      <c r="I186" s="1">
        <v>3236.0</v>
      </c>
      <c r="J186" s="1" t="s">
        <v>15</v>
      </c>
    </row>
    <row r="187">
      <c r="A187" s="1" t="s">
        <v>195</v>
      </c>
      <c r="B187" s="2" t="str">
        <f>"1470011"</f>
        <v>1470011</v>
      </c>
      <c r="C187" s="1">
        <v>0.0</v>
      </c>
      <c r="D187" s="1" t="s">
        <v>15</v>
      </c>
      <c r="E187" s="1" t="s">
        <v>15</v>
      </c>
      <c r="F187" s="1">
        <v>12.0</v>
      </c>
      <c r="G187" s="1">
        <v>8.0</v>
      </c>
      <c r="H187" s="1">
        <v>190.0</v>
      </c>
      <c r="I187" s="1">
        <v>217.0</v>
      </c>
      <c r="J187" s="1" t="s">
        <v>15</v>
      </c>
    </row>
    <row r="188">
      <c r="A188" s="1" t="s">
        <v>196</v>
      </c>
      <c r="B188" s="2" t="str">
        <f>"1480011"</f>
        <v>1480011</v>
      </c>
      <c r="C188" s="1">
        <v>7.0</v>
      </c>
      <c r="D188" s="1">
        <v>227.0</v>
      </c>
      <c r="E188" s="1">
        <v>97.0</v>
      </c>
      <c r="F188" s="1">
        <v>1176.0</v>
      </c>
      <c r="G188" s="1">
        <v>199.0</v>
      </c>
      <c r="H188" s="1">
        <v>3529.0</v>
      </c>
      <c r="I188" s="1">
        <v>5241.0</v>
      </c>
      <c r="J188" s="1">
        <v>6.0</v>
      </c>
    </row>
    <row r="189">
      <c r="A189" s="1" t="s">
        <v>197</v>
      </c>
      <c r="B189" s="2" t="str">
        <f>"1510011"</f>
        <v>1510011</v>
      </c>
      <c r="C189" s="1">
        <v>77.0</v>
      </c>
      <c r="D189" s="1">
        <v>291.0</v>
      </c>
      <c r="E189" s="1">
        <v>3871.0</v>
      </c>
      <c r="F189" s="1">
        <v>11972.0</v>
      </c>
      <c r="G189" s="1">
        <v>766.0</v>
      </c>
      <c r="H189" s="1">
        <v>1799.0</v>
      </c>
      <c r="I189" s="1">
        <v>18776.0</v>
      </c>
      <c r="J189" s="1">
        <v>0.0</v>
      </c>
    </row>
    <row r="190">
      <c r="A190" s="1" t="s">
        <v>198</v>
      </c>
      <c r="B190" s="2" t="str">
        <f>"1520011"</f>
        <v>1520011</v>
      </c>
      <c r="C190" s="1">
        <v>6.0</v>
      </c>
      <c r="D190" s="1">
        <v>114.0</v>
      </c>
      <c r="E190" s="1">
        <v>59.0</v>
      </c>
      <c r="F190" s="1">
        <v>356.0</v>
      </c>
      <c r="G190" s="1">
        <v>141.0</v>
      </c>
      <c r="H190" s="1">
        <v>1598.0</v>
      </c>
      <c r="I190" s="1">
        <v>2281.0</v>
      </c>
      <c r="J190" s="1">
        <v>7.0</v>
      </c>
    </row>
    <row r="191">
      <c r="A191" s="1" t="s">
        <v>199</v>
      </c>
      <c r="B191" s="2" t="str">
        <f>"1530011"</f>
        <v>1530011</v>
      </c>
      <c r="C191" s="1" t="s">
        <v>15</v>
      </c>
      <c r="D191" s="1">
        <v>31.0</v>
      </c>
      <c r="E191" s="1">
        <v>108.0</v>
      </c>
      <c r="F191" s="1">
        <v>361.0</v>
      </c>
      <c r="G191" s="1">
        <v>98.0</v>
      </c>
      <c r="H191" s="1">
        <v>1920.0</v>
      </c>
      <c r="I191" s="1">
        <v>2528.0</v>
      </c>
      <c r="J191" s="1" t="s">
        <v>15</v>
      </c>
    </row>
    <row r="192">
      <c r="A192" s="1" t="s">
        <v>200</v>
      </c>
      <c r="B192" s="2" t="str">
        <f>"1550011"</f>
        <v>1550011</v>
      </c>
      <c r="C192" s="1">
        <v>18.0</v>
      </c>
      <c r="D192" s="1">
        <v>939.0</v>
      </c>
      <c r="E192" s="1">
        <v>727.0</v>
      </c>
      <c r="F192" s="1">
        <v>1972.0</v>
      </c>
      <c r="G192" s="1">
        <v>560.0</v>
      </c>
      <c r="H192" s="1">
        <v>4894.0</v>
      </c>
      <c r="I192" s="1">
        <v>9128.0</v>
      </c>
      <c r="J192" s="1">
        <v>18.0</v>
      </c>
    </row>
    <row r="193">
      <c r="A193" s="1" t="s">
        <v>201</v>
      </c>
      <c r="B193" s="2" t="str">
        <f>"1560011"</f>
        <v>1560011</v>
      </c>
      <c r="C193" s="1">
        <v>15.0</v>
      </c>
      <c r="D193" s="1">
        <v>344.0</v>
      </c>
      <c r="E193" s="1">
        <v>1412.0</v>
      </c>
      <c r="F193" s="1">
        <v>2496.0</v>
      </c>
      <c r="G193" s="1">
        <v>280.0</v>
      </c>
      <c r="H193" s="1">
        <v>1397.0</v>
      </c>
      <c r="I193" s="1">
        <v>5950.0</v>
      </c>
      <c r="J193" s="1">
        <v>6.0</v>
      </c>
    </row>
    <row r="194">
      <c r="A194" s="1" t="s">
        <v>202</v>
      </c>
      <c r="B194" s="2" t="str">
        <f>"1540011"</f>
        <v>1540011</v>
      </c>
      <c r="C194" s="1">
        <v>0.0</v>
      </c>
      <c r="D194" s="1" t="s">
        <v>15</v>
      </c>
      <c r="E194" s="1" t="s">
        <v>15</v>
      </c>
      <c r="F194" s="1">
        <v>161.0</v>
      </c>
      <c r="G194" s="1">
        <v>13.0</v>
      </c>
      <c r="H194" s="1">
        <v>407.0</v>
      </c>
      <c r="I194" s="1">
        <v>592.0</v>
      </c>
      <c r="J194" s="1">
        <v>0.0</v>
      </c>
    </row>
    <row r="195">
      <c r="A195" s="1" t="s">
        <v>203</v>
      </c>
      <c r="B195" s="2" t="str">
        <f>"1570011"</f>
        <v>1570011</v>
      </c>
      <c r="C195" s="1" t="s">
        <v>15</v>
      </c>
      <c r="D195" s="1">
        <v>129.0</v>
      </c>
      <c r="E195" s="1" t="s">
        <v>15</v>
      </c>
      <c r="F195" s="1">
        <v>199.0</v>
      </c>
      <c r="G195" s="1">
        <v>178.0</v>
      </c>
      <c r="H195" s="1">
        <v>1565.0</v>
      </c>
      <c r="I195" s="1">
        <v>2101.0</v>
      </c>
      <c r="J195" s="1">
        <v>0.0</v>
      </c>
    </row>
    <row r="196">
      <c r="A196" s="1" t="s">
        <v>204</v>
      </c>
      <c r="B196" s="2" t="str">
        <f>"1580011"</f>
        <v>1580011</v>
      </c>
      <c r="C196" s="1" t="s">
        <v>15</v>
      </c>
      <c r="D196" s="1">
        <v>332.0</v>
      </c>
      <c r="E196" s="1">
        <v>109.0</v>
      </c>
      <c r="F196" s="1">
        <v>452.0</v>
      </c>
      <c r="G196" s="1">
        <v>385.0</v>
      </c>
      <c r="H196" s="1">
        <v>3999.0</v>
      </c>
      <c r="I196" s="1">
        <v>5281.0</v>
      </c>
      <c r="J196" s="1" t="s">
        <v>15</v>
      </c>
    </row>
    <row r="197">
      <c r="A197" s="1" t="s">
        <v>205</v>
      </c>
      <c r="B197" s="2" t="str">
        <f>"1590011"</f>
        <v>1590011</v>
      </c>
      <c r="C197" s="1">
        <v>7.0</v>
      </c>
      <c r="D197" s="1">
        <v>186.0</v>
      </c>
      <c r="E197" s="1">
        <v>163.0</v>
      </c>
      <c r="F197" s="1">
        <v>757.0</v>
      </c>
      <c r="G197" s="1">
        <v>157.0</v>
      </c>
      <c r="H197" s="1">
        <v>2195.0</v>
      </c>
      <c r="I197" s="1">
        <v>3471.0</v>
      </c>
      <c r="J197" s="1">
        <v>6.0</v>
      </c>
    </row>
    <row r="198">
      <c r="A198" s="1" t="s">
        <v>206</v>
      </c>
      <c r="B198" s="2" t="str">
        <f>"1600011"</f>
        <v>1600011</v>
      </c>
      <c r="C198" s="1" t="s">
        <v>15</v>
      </c>
      <c r="D198" s="1">
        <v>8.0</v>
      </c>
      <c r="E198" s="1" t="s">
        <v>15</v>
      </c>
      <c r="F198" s="1">
        <v>42.0</v>
      </c>
      <c r="G198" s="1">
        <v>19.0</v>
      </c>
      <c r="H198" s="1">
        <v>299.0</v>
      </c>
      <c r="I198" s="1">
        <v>376.0</v>
      </c>
      <c r="J198" s="1">
        <v>0.0</v>
      </c>
    </row>
    <row r="199">
      <c r="A199" s="1" t="s">
        <v>207</v>
      </c>
      <c r="B199" s="2" t="str">
        <f>"1610011"</f>
        <v>1610011</v>
      </c>
      <c r="C199" s="1" t="s">
        <v>15</v>
      </c>
      <c r="D199" s="1">
        <v>417.0</v>
      </c>
      <c r="E199" s="1">
        <v>36.0</v>
      </c>
      <c r="F199" s="1">
        <v>270.0</v>
      </c>
      <c r="G199" s="1">
        <v>242.0</v>
      </c>
      <c r="H199" s="1">
        <v>2809.0</v>
      </c>
      <c r="I199" s="1">
        <v>3782.0</v>
      </c>
      <c r="J199" s="1" t="s">
        <v>15</v>
      </c>
    </row>
    <row r="200">
      <c r="A200" s="1" t="s">
        <v>208</v>
      </c>
      <c r="B200" s="2" t="str">
        <f>"1620011"</f>
        <v>1620011</v>
      </c>
      <c r="C200" s="1" t="s">
        <v>15</v>
      </c>
      <c r="D200" s="1">
        <v>9.0</v>
      </c>
      <c r="E200" s="1">
        <v>20.0</v>
      </c>
      <c r="F200" s="1">
        <v>93.0</v>
      </c>
      <c r="G200" s="1">
        <v>25.0</v>
      </c>
      <c r="H200" s="1">
        <v>450.0</v>
      </c>
      <c r="I200" s="1">
        <v>599.0</v>
      </c>
      <c r="J200" s="1" t="s">
        <v>15</v>
      </c>
    </row>
    <row r="201">
      <c r="A201" s="1" t="s">
        <v>209</v>
      </c>
      <c r="B201" s="2" t="str">
        <f>"1630011"</f>
        <v>1630011</v>
      </c>
      <c r="C201" s="1" t="s">
        <v>15</v>
      </c>
      <c r="D201" s="1">
        <v>28.0</v>
      </c>
      <c r="E201" s="1">
        <v>102.0</v>
      </c>
      <c r="F201" s="1">
        <v>2287.0</v>
      </c>
      <c r="G201" s="1">
        <v>73.0</v>
      </c>
      <c r="H201" s="1">
        <v>654.0</v>
      </c>
      <c r="I201" s="1">
        <v>3153.0</v>
      </c>
      <c r="J201" s="1" t="s">
        <v>15</v>
      </c>
    </row>
    <row r="202">
      <c r="A202" s="1" t="s">
        <v>210</v>
      </c>
      <c r="B202" s="2" t="str">
        <f>"1650011"</f>
        <v>1650011</v>
      </c>
      <c r="C202" s="1" t="s">
        <v>15</v>
      </c>
      <c r="D202" s="1">
        <v>91.0</v>
      </c>
      <c r="E202" s="1">
        <v>178.0</v>
      </c>
      <c r="F202" s="1">
        <v>263.0</v>
      </c>
      <c r="G202" s="1">
        <v>95.0</v>
      </c>
      <c r="H202" s="1">
        <v>815.0</v>
      </c>
      <c r="I202" s="1">
        <v>1448.0</v>
      </c>
      <c r="J202" s="1" t="s">
        <v>15</v>
      </c>
    </row>
    <row r="203">
      <c r="A203" s="1" t="s">
        <v>211</v>
      </c>
      <c r="B203" s="2" t="str">
        <f>"1640011"</f>
        <v>1640011</v>
      </c>
      <c r="C203" s="1" t="s">
        <v>15</v>
      </c>
      <c r="D203" s="1">
        <v>111.0</v>
      </c>
      <c r="E203" s="1">
        <v>1349.0</v>
      </c>
      <c r="F203" s="1">
        <v>827.0</v>
      </c>
      <c r="G203" s="1">
        <v>295.0</v>
      </c>
      <c r="H203" s="1">
        <v>676.0</v>
      </c>
      <c r="I203" s="1">
        <v>3266.0</v>
      </c>
      <c r="J203" s="1" t="s">
        <v>15</v>
      </c>
    </row>
    <row r="204">
      <c r="A204" s="1" t="s">
        <v>212</v>
      </c>
      <c r="B204" s="2" t="str">
        <f>"1660011"</f>
        <v>1660011</v>
      </c>
      <c r="C204" s="1" t="s">
        <v>15</v>
      </c>
      <c r="D204" s="1">
        <v>55.0</v>
      </c>
      <c r="E204" s="1">
        <v>96.0</v>
      </c>
      <c r="F204" s="1">
        <v>387.0</v>
      </c>
      <c r="G204" s="1">
        <v>61.0</v>
      </c>
      <c r="H204" s="1">
        <v>1496.0</v>
      </c>
      <c r="I204" s="1">
        <v>2100.0</v>
      </c>
      <c r="J204" s="1" t="s">
        <v>15</v>
      </c>
    </row>
    <row r="205">
      <c r="A205" s="1" t="s">
        <v>213</v>
      </c>
      <c r="B205" s="2" t="str">
        <f>"1670011"</f>
        <v>1670011</v>
      </c>
      <c r="C205" s="1" t="s">
        <v>15</v>
      </c>
      <c r="D205" s="1">
        <v>129.0</v>
      </c>
      <c r="E205" s="1" t="s">
        <v>15</v>
      </c>
      <c r="F205" s="1">
        <v>86.0</v>
      </c>
      <c r="G205" s="1">
        <v>61.0</v>
      </c>
      <c r="H205" s="1">
        <v>565.0</v>
      </c>
      <c r="I205" s="1">
        <v>862.0</v>
      </c>
      <c r="J205" s="1">
        <v>0.0</v>
      </c>
    </row>
    <row r="206">
      <c r="A206" s="1" t="s">
        <v>214</v>
      </c>
      <c r="B206" s="2" t="str">
        <f>"1690011"</f>
        <v>1690011</v>
      </c>
      <c r="C206" s="1">
        <v>0.0</v>
      </c>
      <c r="D206" s="1" t="s">
        <v>15</v>
      </c>
      <c r="E206" s="1" t="s">
        <v>15</v>
      </c>
      <c r="F206" s="1">
        <v>48.0</v>
      </c>
      <c r="G206" s="1">
        <v>40.0</v>
      </c>
      <c r="H206" s="1">
        <v>663.0</v>
      </c>
      <c r="I206" s="1">
        <v>756.0</v>
      </c>
      <c r="J206" s="1">
        <v>0.0</v>
      </c>
    </row>
    <row r="207">
      <c r="A207" s="1" t="s">
        <v>12</v>
      </c>
      <c r="B207" s="2" t="str">
        <f>""</f>
        <v/>
      </c>
      <c r="C207" s="1">
        <v>1206.0</v>
      </c>
      <c r="D207" s="1">
        <v>26444.0</v>
      </c>
      <c r="E207" s="1">
        <v>63270.0</v>
      </c>
      <c r="F207" s="1">
        <v>163247.0</v>
      </c>
      <c r="G207" s="1">
        <v>24360.0</v>
      </c>
      <c r="H207" s="1">
        <v>229434.0</v>
      </c>
      <c r="I207" s="1">
        <v>508402.0</v>
      </c>
      <c r="J207" s="1">
        <v>441.0</v>
      </c>
    </row>
  </sheetData>
  <drawing r:id="rId1"/>
</worksheet>
</file>