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<sst xmlns="http://schemas.openxmlformats.org/spreadsheetml/2006/main" count="203" uniqueCount="203">
  <si>
    <t>District</t>
  </si>
  <si>
    <t>District Code</t>
  </si>
  <si>
    <t>Language</t>
  </si>
  <si>
    <t>Achievement First Bridgeport Academy District</t>
  </si>
  <si>
    <t>Achievement First Hartford Academy District</t>
  </si>
  <si>
    <t>Amistad Academy District</t>
  </si>
  <si>
    <t>Andover School District</t>
  </si>
  <si>
    <t>Ansonia School District</t>
  </si>
  <si>
    <t>Area Cooperative Educational Services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</si>
  <si>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</si>
  <si>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</si>
  <si>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</si>
  <si>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</si>
  <si>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</si>
  <si>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</si>
  <si>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</si>
  <si>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</si>
  <si>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Booker T. Washington Academy District</t>
  </si>
  <si>
    <t>Bozrah School District</t>
  </si>
  <si>
    <t>Branford School District</t>
  </si>
  <si>
    <t>Brass City Charter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</si>
  <si>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</si>
  <si>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</si>
  <si>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</si>
  <si>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</si>
  <si>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</si>
  <si>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</si>
  <si>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</si>
  <si>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Capital Preparatory Harbor School District</t>
  </si>
  <si>
    <t>Capitol Region Education Council</t>
  </si>
  <si>
    <t>Chaplin School District</t>
  </si>
  <si>
    <t>Cheshire School District</t>
  </si>
  <si>
    <t>Chester School District</t>
  </si>
  <si>
    <t>Clinton School District</t>
  </si>
  <si>
    <t>Colchester School District</t>
  </si>
  <si>
    <t>Colebrook School District</t>
  </si>
  <si>
    <t>Columbia School District</t>
  </si>
  <si>
    <t>Common Ground High School District</t>
  </si>
  <si>
    <t>Connecticut Technical Education and Career System</t>
  </si>
  <si>
    <t>Cooperative Educational Services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</si>
  <si>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</si>
  <si>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</si>
  <si>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</si>
  <si>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</si>
  <si>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</si>
  <si>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</si>
  <si>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Department of Mental Health and Addiction Services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</si>
  <si>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</si>
  <si>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</si>
  <si>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</si>
  <si>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</si>
  <si>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</si>
  <si>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</si>
  <si>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</si>
  <si>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</si>
  <si>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Eastern Connecticut Regional Educational Service Center (EASTCONN)</t>
  </si>
  <si>
    <t>Eastford School District</t>
  </si>
  <si>
    <t>Easton School District</t>
  </si>
  <si>
    <t>EdAdvance</t>
  </si>
  <si>
    <t>Ellington School District</t>
  </si>
  <si>
    <t>Elm City College Preparatory School District</t>
  </si>
  <si>
    <t>Elm City Montessori School District</t>
  </si>
  <si>
    <t>Enfield School District</t>
  </si>
  <si>
    <t>Essex School District</t>
  </si>
  <si>
    <t>Explorations District</t>
  </si>
  <si>
    <t>Fairfield School District</t>
  </si>
  <si>
    <t>Farmington School District</t>
  </si>
  <si>
    <t>Franklin School District</t>
  </si>
  <si>
    <t>Glastonbury School District</t>
  </si>
  <si>
    <t>Goodwin University Educational Services (GUES)</t>
  </si>
  <si>
    <t>Granby School District</t>
  </si>
  <si>
    <t>Great Oaks Charter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</si>
  <si>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</si>
  <si>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</si>
  <si>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</si>
  <si>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</si>
  <si>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</si>
  <si>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Hampton School District</t>
  </si>
  <si>
    <t>Hartford School District</t>
  </si>
  <si>
    <t>Hartland School District</t>
  </si>
  <si>
    <t>Hebron School District</t>
  </si>
  <si>
    <t>Highville Charter School District</t>
  </si>
  <si>
    <t>Integrated Day Charter School District</t>
  </si>
  <si>
    <t>Interdistrict School for Arts and Comm District</t>
  </si>
  <si>
    <t>Jumoke Academy District</t>
  </si>
  <si>
    <t>Kent School District</t>
  </si>
  <si>
    <t>Killingly School District</t>
  </si>
  <si>
    <t>Learn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</si>
  <si>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</si>
  <si>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</si>
  <si>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</si>
  <si>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</si>
  <si>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</si>
  <si>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Mansfield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</si>
  <si>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</si>
  <si>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</si>
  <si>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</si>
  <si>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</si>
  <si>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</si>
  <si>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</si>
  <si>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</si>
  <si>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Beginnings Inc Family Academy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</si>
  <si>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</si>
  <si>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</si>
  <si>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</si>
  <si>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</si>
  <si>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</si>
  <si>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</si>
  <si>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</si>
  <si>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</si>
  <si>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</si>
  <si>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</si>
  <si>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</si>
  <si>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</si>
  <si>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</si>
  <si>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</si>
  <si>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</si>
  <si>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Free Academy District</t>
  </si>
  <si>
    <t>Norwich School District</t>
  </si>
  <si>
    <t>Odyssey Community School District</t>
  </si>
  <si>
    <t>Old Saybrook School District</t>
  </si>
  <si>
    <t>Orange School District</t>
  </si>
  <si>
    <t>Oxford School District</t>
  </si>
  <si>
    <t>Park City Prep Charter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</si>
  <si>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</si>
  <si>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</si>
  <si>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</si>
  <si>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</si>
  <si>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</si>
  <si>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</si>
  <si>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</si>
  <si>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</si>
  <si>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</si>
  <si>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</si>
  <si>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</si>
  <si>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</si>
  <si>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</si>
  <si>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</si>
  <si>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Regional School District 10</t>
  </si>
  <si>
    <t>Regional School District 11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</si>
  <si>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</si>
  <si>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</si>
  <si>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</si>
  <si>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</si>
  <si>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</si>
  <si>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</si>
  <si>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</si>
  <si>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19</t>
  </si>
  <si>
    <t>Regional School District 20</t>
  </si>
  <si>
    <t>Ridgefield School District</t>
  </si>
  <si>
    <t>Rocky Hill School District</t>
  </si>
  <si>
    <t>Salem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</si>
  <si>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</si>
  <si>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</si>
  <si>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</si>
  <si>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</si>
  <si>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</si>
  <si>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</si>
  <si>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Side By Side Charter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</si>
  <si>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</si>
  <si>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</si>
  <si>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</si>
  <si>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</si>
  <si>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</si>
  <si>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</si>
  <si>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Charter School for Excellence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</si>
  <si>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</si>
  <si>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</si>
  <si>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</si>
  <si>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</si>
  <si>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</si>
  <si>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The Bridge Academy District</t>
  </si>
  <si>
    <t>The Gilbert School District</t>
  </si>
  <si>
    <t>The Woodstock Academy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</si>
  <si>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</si>
  <si>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</si>
  <si>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</si>
  <si>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</si>
  <si>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</si>
  <si>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Unified School District #1</t>
  </si>
  <si>
    <t>Unified School District #2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</si>
  <si>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</si>
  <si>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</si>
  <si>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</si>
  <si>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</si>
  <si>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</si>
  <si>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</si>
  <si>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</si>
  <si>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</si>
  <si>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</si>
  <si>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</si>
  <si>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</si>
  <si>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</si>
  <si>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</si>
  <si>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</si>
  <si>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</si>
  <si>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</si>
  <si>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</si>
  <si>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Locks School District</t>
  </si>
  <si>
    <t>Windsor School District</t>
  </si>
  <si>
    <t>Wolcott School District</t>
  </si>
  <si>
    <t>Woodbridge School District</t>
  </si>
  <si>
    <t>Woodstock School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</si>
</sst>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3" max="3" width="15.6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tr">
        <f>"2850013"</f>
        <v>2850013</v>
      </c>
    </row>
    <row r="3">
      <c r="A3" s="1" t="s">
        <v>4</v>
      </c>
      <c r="B3" s="1" t="str">
        <f>"2880013"</f>
        <v>2880013</v>
      </c>
    </row>
    <row r="4">
      <c r="A4" s="1" t="s">
        <v>5</v>
      </c>
      <c r="B4" s="1" t="str">
        <f>"2790013"</f>
        <v>2790013</v>
      </c>
    </row>
    <row r="5">
      <c r="A5" s="1" t="s">
        <v>6</v>
      </c>
      <c r="B5" s="1" t="str">
        <f>"0010011"</f>
        <v>0010011</v>
      </c>
    </row>
    <row r="6">
      <c r="A6" s="1" t="s">
        <v>7</v>
      </c>
      <c r="B6" s="1" t="str">
        <f>"0020011"</f>
        <v>0020011</v>
      </c>
    </row>
    <row r="7">
      <c r="A7" s="1" t="s">
        <v>8</v>
      </c>
      <c r="B7" s="1" t="str">
        <f>"2440014"</f>
        <v>2440014</v>
      </c>
    </row>
    <row r="8">
      <c r="A8" s="1" t="s">
        <v>9</v>
      </c>
      <c r="B8" s="1" t="str">
        <f>"0030011"</f>
        <v>0030011</v>
      </c>
    </row>
    <row r="9">
      <c r="A9" s="1" t="s">
        <v>10</v>
      </c>
      <c r="B9" s="1" t="str">
        <f>"0040011"</f>
        <v>0040011</v>
      </c>
    </row>
    <row r="10">
      <c r="A10" s="1" t="s">
        <v>11</v>
      </c>
      <c r="B10" s="1" t="str">
        <f>"0050011"</f>
        <v>0050011</v>
      </c>
    </row>
    <row r="11">
      <c r="A11" s="1" t="s">
        <v>12</v>
      </c>
      <c r="B11" s="1" t="str">
        <f>"0070011"</f>
        <v>0070011</v>
      </c>
    </row>
    <row r="12">
      <c r="A12" s="1" t="s">
        <v>13</v>
      </c>
      <c r="B12" s="1" t="str">
        <f>"0080011"</f>
        <v>0080011</v>
      </c>
    </row>
    <row r="13">
      <c r="A13" s="1" t="s">
        <v>14</v>
      </c>
      <c r="B13" s="1" t="str">
        <f>"0090011"</f>
        <v>0090011</v>
      </c>
    </row>
    <row r="14">
      <c r="A14" s="1" t="s">
        <v>15</v>
      </c>
      <c r="B14" s="1" t="str">
        <f>"0110011"</f>
        <v>0110011</v>
      </c>
    </row>
    <row r="15">
      <c r="A15" s="1" t="s">
        <v>16</v>
      </c>
      <c r="B15" s="1" t="str">
        <f>"0120011"</f>
        <v>0120011</v>
      </c>
    </row>
    <row r="16">
      <c r="A16" s="1" t="s">
        <v>17</v>
      </c>
      <c r="B16" s="1" t="str">
        <f>"2950013"</f>
        <v>2950013</v>
      </c>
    </row>
    <row r="17">
      <c r="A17" s="1" t="s">
        <v>18</v>
      </c>
      <c r="B17" s="1" t="str">
        <f>"0130011"</f>
        <v>0130011</v>
      </c>
    </row>
    <row r="18">
      <c r="A18" s="1" t="s">
        <v>19</v>
      </c>
      <c r="B18" s="1" t="str">
        <f>"0140011"</f>
        <v>0140011</v>
      </c>
    </row>
    <row r="19">
      <c r="A19" s="1" t="s">
        <v>20</v>
      </c>
      <c r="B19" s="1" t="str">
        <f>"2900013"</f>
        <v>2900013</v>
      </c>
    </row>
    <row r="20">
      <c r="A20" s="1" t="s">
        <v>21</v>
      </c>
      <c r="B20" s="1" t="str">
        <f>"0150011"</f>
        <v>0150011</v>
      </c>
    </row>
    <row r="21">
      <c r="A21" s="1" t="s">
        <v>22</v>
      </c>
      <c r="B21" s="1" t="str">
        <f>"0170011"</f>
        <v>0170011</v>
      </c>
    </row>
    <row r="22">
      <c r="A22" s="1" t="s">
        <v>23</v>
      </c>
      <c r="B22" s="1" t="str">
        <f>"0180011"</f>
        <v>0180011</v>
      </c>
    </row>
    <row r="23">
      <c r="A23" s="1" t="s">
        <v>24</v>
      </c>
      <c r="B23" s="1" t="str">
        <f>"0190011"</f>
        <v>0190011</v>
      </c>
    </row>
    <row r="24">
      <c r="A24" s="1" t="s">
        <v>25</v>
      </c>
      <c r="B24" s="1" t="str">
        <f>"0210011"</f>
        <v>0210011</v>
      </c>
    </row>
    <row r="25">
      <c r="A25" s="1" t="s">
        <v>26</v>
      </c>
      <c r="B25" s="1" t="str">
        <f>"0220011"</f>
        <v>0220011</v>
      </c>
    </row>
    <row r="26">
      <c r="A26" s="1" t="s">
        <v>27</v>
      </c>
      <c r="B26" s="1" t="str">
        <f>"0230011"</f>
        <v>0230011</v>
      </c>
    </row>
    <row r="27">
      <c r="A27" s="1" t="s">
        <v>28</v>
      </c>
      <c r="B27" s="1" t="str">
        <f>"2970013"</f>
        <v>2970013</v>
      </c>
    </row>
    <row r="28">
      <c r="A28" s="1" t="s">
        <v>29</v>
      </c>
      <c r="B28" s="1" t="str">
        <f>"2410014"</f>
        <v>2410014</v>
      </c>
    </row>
    <row r="29">
      <c r="A29" s="1" t="s">
        <v>30</v>
      </c>
      <c r="B29" s="1" t="str">
        <f>"0240011"</f>
        <v>0240011</v>
      </c>
    </row>
    <row r="30">
      <c r="A30" s="1" t="s">
        <v>31</v>
      </c>
      <c r="B30" s="1" t="str">
        <f>"0250011"</f>
        <v>0250011</v>
      </c>
    </row>
    <row r="31">
      <c r="A31" s="1" t="s">
        <v>32</v>
      </c>
      <c r="B31" s="1" t="str">
        <f>"0260011"</f>
        <v>0260011</v>
      </c>
    </row>
    <row r="32">
      <c r="A32" s="1" t="s">
        <v>33</v>
      </c>
      <c r="B32" s="1" t="str">
        <f>"0270011"</f>
        <v>0270011</v>
      </c>
    </row>
    <row r="33">
      <c r="A33" s="1" t="s">
        <v>34</v>
      </c>
      <c r="B33" s="1" t="str">
        <f>"0280011"</f>
        <v>0280011</v>
      </c>
    </row>
    <row r="34">
      <c r="A34" s="1" t="s">
        <v>35</v>
      </c>
      <c r="B34" s="1" t="str">
        <f>"0290011"</f>
        <v>0290011</v>
      </c>
    </row>
    <row r="35">
      <c r="A35" s="1" t="s">
        <v>36</v>
      </c>
      <c r="B35" s="1" t="str">
        <f>"0300011"</f>
        <v>0300011</v>
      </c>
    </row>
    <row r="36">
      <c r="A36" s="1" t="s">
        <v>37</v>
      </c>
      <c r="B36" s="1" t="str">
        <f>"2680013"</f>
        <v>2680013</v>
      </c>
    </row>
    <row r="37">
      <c r="A37" s="1" t="s">
        <v>38</v>
      </c>
      <c r="B37" s="1" t="str">
        <f>"9000016"</f>
        <v>9000016</v>
      </c>
    </row>
    <row r="38">
      <c r="A38" s="1" t="s">
        <v>39</v>
      </c>
      <c r="B38" s="1" t="str">
        <f>"2430014"</f>
        <v>2430014</v>
      </c>
    </row>
    <row r="39">
      <c r="A39" s="1" t="s">
        <v>40</v>
      </c>
      <c r="B39" s="1" t="str">
        <f>"0310011"</f>
        <v>0310011</v>
      </c>
    </row>
    <row r="40">
      <c r="A40" s="1" t="s">
        <v>41</v>
      </c>
      <c r="B40" s="1" t="str">
        <f>"0320011"</f>
        <v>0320011</v>
      </c>
    </row>
    <row r="41">
      <c r="A41" s="1" t="s">
        <v>42</v>
      </c>
      <c r="B41" s="1" t="str">
        <f>"0330011"</f>
        <v>0330011</v>
      </c>
    </row>
    <row r="42">
      <c r="A42" s="1" t="s">
        <v>43</v>
      </c>
      <c r="B42" s="1" t="str">
        <f>"0340011"</f>
        <v>0340011</v>
      </c>
    </row>
    <row r="43">
      <c r="A43" s="1" t="s">
        <v>44</v>
      </c>
      <c r="B43" s="1" t="str">
        <f>"0350011"</f>
        <v>0350011</v>
      </c>
    </row>
    <row r="44">
      <c r="A44" s="1" t="s">
        <v>45</v>
      </c>
      <c r="B44" s="1" t="str">
        <f>"0360011"</f>
        <v>0360011</v>
      </c>
    </row>
    <row r="45">
      <c r="A45" s="1" t="s">
        <v>46</v>
      </c>
      <c r="B45" s="1" t="str">
        <f>""</f>
        <v/>
      </c>
    </row>
    <row r="46">
      <c r="A46" s="1" t="s">
        <v>47</v>
      </c>
      <c r="B46" s="1" t="str">
        <f>"0370011"</f>
        <v>0370011</v>
      </c>
    </row>
    <row r="47">
      <c r="A47" s="1" t="s">
        <v>48</v>
      </c>
      <c r="B47" s="1" t="str">
        <f>"0400011"</f>
        <v>0400011</v>
      </c>
    </row>
    <row r="48">
      <c r="A48" s="1" t="s">
        <v>49</v>
      </c>
      <c r="B48" s="1" t="str">
        <f>"0410011"</f>
        <v>0410011</v>
      </c>
    </row>
    <row r="49">
      <c r="A49" s="1" t="s">
        <v>50</v>
      </c>
      <c r="B49" s="1" t="str">
        <f>"0420011"</f>
        <v>0420011</v>
      </c>
    </row>
    <row r="50">
      <c r="A50" s="1" t="s">
        <v>51</v>
      </c>
      <c r="B50" s="1" t="str">
        <f>"0430011"</f>
        <v>0430011</v>
      </c>
    </row>
    <row r="51">
      <c r="A51" s="1" t="s">
        <v>52</v>
      </c>
      <c r="B51" s="1" t="str">
        <f>"0440011"</f>
        <v>0440011</v>
      </c>
    </row>
    <row r="52">
      <c r="A52" s="1" t="s">
        <v>53</v>
      </c>
      <c r="B52" s="1" t="str">
        <f>"0450011"</f>
        <v>0450011</v>
      </c>
    </row>
    <row r="53">
      <c r="A53" s="1" t="s">
        <v>54</v>
      </c>
      <c r="B53" s="1" t="str">
        <f>"0470011"</f>
        <v>0470011</v>
      </c>
    </row>
    <row r="54">
      <c r="A54" s="1" t="s">
        <v>55</v>
      </c>
      <c r="B54" s="1" t="str">
        <f>"2530014"</f>
        <v>2530014</v>
      </c>
    </row>
    <row r="55">
      <c r="A55" s="1" t="s">
        <v>56</v>
      </c>
      <c r="B55" s="1" t="str">
        <f>"0390011"</f>
        <v>0390011</v>
      </c>
    </row>
    <row r="56">
      <c r="A56" s="1" t="s">
        <v>57</v>
      </c>
      <c r="B56" s="1" t="str">
        <f>"0460011"</f>
        <v>0460011</v>
      </c>
    </row>
    <row r="57">
      <c r="A57" s="1" t="s">
        <v>58</v>
      </c>
      <c r="B57" s="1" t="str">
        <f>"2420014"</f>
        <v>2420014</v>
      </c>
    </row>
    <row r="58">
      <c r="A58" s="1" t="s">
        <v>59</v>
      </c>
      <c r="B58" s="1" t="str">
        <f>"0480011"</f>
        <v>0480011</v>
      </c>
    </row>
    <row r="59">
      <c r="A59" s="1" t="s">
        <v>60</v>
      </c>
      <c r="B59" s="1" t="str">
        <f>"2890013"</f>
        <v>2890013</v>
      </c>
    </row>
    <row r="60">
      <c r="A60" s="1" t="s">
        <v>61</v>
      </c>
      <c r="B60" s="1" t="str">
        <f>"2910013"</f>
        <v>2910013</v>
      </c>
    </row>
    <row r="61">
      <c r="A61" s="1" t="s">
        <v>62</v>
      </c>
      <c r="B61" s="1" t="str">
        <f>"0490011"</f>
        <v>0490011</v>
      </c>
    </row>
    <row r="62">
      <c r="A62" s="1" t="s">
        <v>63</v>
      </c>
      <c r="B62" s="1" t="str">
        <f>"0500011"</f>
        <v>0500011</v>
      </c>
    </row>
    <row r="63">
      <c r="A63" s="1" t="s">
        <v>64</v>
      </c>
      <c r="B63" s="1" t="str">
        <f>"2720013"</f>
        <v>2720013</v>
      </c>
    </row>
    <row r="64">
      <c r="A64" s="1" t="s">
        <v>65</v>
      </c>
      <c r="B64" s="1" t="str">
        <f>"0510011"</f>
        <v>0510011</v>
      </c>
    </row>
    <row r="65">
      <c r="A65" s="1" t="s">
        <v>66</v>
      </c>
      <c r="B65" s="1" t="str">
        <f>"0520011"</f>
        <v>0520011</v>
      </c>
    </row>
    <row r="66">
      <c r="A66" s="1" t="s">
        <v>67</v>
      </c>
      <c r="B66" s="1" t="str">
        <f>"0530011"</f>
        <v>0530011</v>
      </c>
    </row>
    <row r="67">
      <c r="A67" s="1" t="s">
        <v>68</v>
      </c>
      <c r="B67" s="1" t="str">
        <f>"0540011"</f>
        <v>0540011</v>
      </c>
    </row>
    <row r="68">
      <c r="A68" s="1" t="s">
        <v>69</v>
      </c>
      <c r="B68" s="1" t="str">
        <f>"2310018"</f>
        <v>2310018</v>
      </c>
    </row>
    <row r="69">
      <c r="A69" s="1" t="s">
        <v>70</v>
      </c>
      <c r="B69" s="1" t="str">
        <f>"0560011"</f>
        <v>0560011</v>
      </c>
    </row>
    <row r="70">
      <c r="A70" s="1" t="s">
        <v>71</v>
      </c>
      <c r="B70" s="1" t="str">
        <f>"2940013"</f>
        <v>2940013</v>
      </c>
    </row>
    <row r="71">
      <c r="A71" s="1" t="s">
        <v>72</v>
      </c>
      <c r="B71" s="1" t="str">
        <f>"0570011"</f>
        <v>0570011</v>
      </c>
    </row>
    <row r="72">
      <c r="A72" s="1" t="s">
        <v>73</v>
      </c>
      <c r="B72" s="1" t="str">
        <f>"0580011"</f>
        <v>0580011</v>
      </c>
    </row>
    <row r="73">
      <c r="A73" s="1" t="s">
        <v>74</v>
      </c>
      <c r="B73" s="1" t="str">
        <f>"0590011"</f>
        <v>0590011</v>
      </c>
    </row>
    <row r="74">
      <c r="A74" s="1" t="s">
        <v>75</v>
      </c>
      <c r="B74" s="1" t="str">
        <f>"0600011"</f>
        <v>0600011</v>
      </c>
    </row>
    <row r="75">
      <c r="A75" s="1" t="s">
        <v>76</v>
      </c>
      <c r="B75" s="1" t="str">
        <f>"0620011"</f>
        <v>0620011</v>
      </c>
    </row>
    <row r="76">
      <c r="A76" s="1" t="s">
        <v>77</v>
      </c>
      <c r="B76" s="1" t="str">
        <f>"0630011"</f>
        <v>0630011</v>
      </c>
    </row>
    <row r="77">
      <c r="A77" s="1" t="s">
        <v>78</v>
      </c>
      <c r="B77" s="1" t="str">
        <f>"0640011"</f>
        <v>0640011</v>
      </c>
    </row>
    <row r="78">
      <c r="A78" s="1" t="s">
        <v>79</v>
      </c>
      <c r="B78" s="1" t="str">
        <f>"0650011"</f>
        <v>0650011</v>
      </c>
    </row>
    <row r="79">
      <c r="A79" s="1" t="s">
        <v>80</v>
      </c>
      <c r="B79" s="1" t="str">
        <f>"0670011"</f>
        <v>0670011</v>
      </c>
    </row>
    <row r="80">
      <c r="A80" s="1" t="s">
        <v>81</v>
      </c>
      <c r="B80" s="1" t="str">
        <f>"2860013"</f>
        <v>2860013</v>
      </c>
    </row>
    <row r="81">
      <c r="A81" s="1" t="s">
        <v>82</v>
      </c>
      <c r="B81" s="1" t="str">
        <f>"2640013"</f>
        <v>2640013</v>
      </c>
    </row>
    <row r="82">
      <c r="A82" s="1" t="s">
        <v>83</v>
      </c>
      <c r="B82" s="1" t="str">
        <f>"2650013"</f>
        <v>2650013</v>
      </c>
    </row>
    <row r="83">
      <c r="A83" s="1" t="s">
        <v>84</v>
      </c>
      <c r="B83" s="1" t="str">
        <f>"2610013"</f>
        <v>2610013</v>
      </c>
    </row>
    <row r="84">
      <c r="A84" s="1" t="s">
        <v>85</v>
      </c>
      <c r="B84" s="1" t="str">
        <f>"0680011"</f>
        <v>0680011</v>
      </c>
    </row>
    <row r="85">
      <c r="A85" s="1" t="s">
        <v>86</v>
      </c>
      <c r="B85" s="1" t="str">
        <f>"0690011"</f>
        <v>0690011</v>
      </c>
    </row>
    <row r="86">
      <c r="A86" s="1" t="s">
        <v>87</v>
      </c>
      <c r="B86" s="1" t="str">
        <f>"2450014"</f>
        <v>2450014</v>
      </c>
    </row>
    <row r="87">
      <c r="A87" s="1" t="s">
        <v>88</v>
      </c>
      <c r="B87" s="1" t="str">
        <f>"0710011"</f>
        <v>0710011</v>
      </c>
    </row>
    <row r="88">
      <c r="A88" s="1" t="s">
        <v>89</v>
      </c>
      <c r="B88" s="1" t="str">
        <f>"0720011"</f>
        <v>0720011</v>
      </c>
    </row>
    <row r="89">
      <c r="A89" s="1" t="s">
        <v>90</v>
      </c>
      <c r="B89" s="1" t="str">
        <f>"0730011"</f>
        <v>0730011</v>
      </c>
    </row>
    <row r="90">
      <c r="A90" s="1" t="s">
        <v>91</v>
      </c>
      <c r="B90" s="1" t="str">
        <f>"0760011"</f>
        <v>0760011</v>
      </c>
    </row>
    <row r="91">
      <c r="A91" s="1" t="s">
        <v>92</v>
      </c>
      <c r="B91" s="1" t="str">
        <f>"0770011"</f>
        <v>0770011</v>
      </c>
    </row>
    <row r="92">
      <c r="A92" s="1" t="s">
        <v>93</v>
      </c>
      <c r="B92" s="1" t="str">
        <f>"0780011"</f>
        <v>0780011</v>
      </c>
    </row>
    <row r="93">
      <c r="A93" s="1" t="s">
        <v>94</v>
      </c>
      <c r="B93" s="1" t="str">
        <f>"0790011"</f>
        <v>0790011</v>
      </c>
    </row>
    <row r="94">
      <c r="A94" s="1" t="s">
        <v>95</v>
      </c>
      <c r="B94" s="1" t="str">
        <f>"0800011"</f>
        <v>0800011</v>
      </c>
    </row>
    <row r="95">
      <c r="A95" s="1" t="s">
        <v>96</v>
      </c>
      <c r="B95" s="1" t="str">
        <f>"0830011"</f>
        <v>0830011</v>
      </c>
    </row>
    <row r="96">
      <c r="A96" s="1" t="s">
        <v>97</v>
      </c>
      <c r="B96" s="1" t="str">
        <f>"0840011"</f>
        <v>0840011</v>
      </c>
    </row>
    <row r="97">
      <c r="A97" s="1" t="s">
        <v>98</v>
      </c>
      <c r="B97" s="1" t="str">
        <f>"0850011"</f>
        <v>0850011</v>
      </c>
    </row>
    <row r="98">
      <c r="A98" s="1" t="s">
        <v>99</v>
      </c>
      <c r="B98" s="1" t="str">
        <f>"0860011"</f>
        <v>0860011</v>
      </c>
    </row>
    <row r="99">
      <c r="A99" s="1" t="s">
        <v>100</v>
      </c>
      <c r="B99" s="1" t="str">
        <f>"0880011"</f>
        <v>0880011</v>
      </c>
    </row>
    <row r="100">
      <c r="A100" s="1" t="s">
        <v>101</v>
      </c>
      <c r="B100" s="1" t="str">
        <f>"2800013"</f>
        <v>2800013</v>
      </c>
    </row>
    <row r="101">
      <c r="A101" s="1" t="s">
        <v>102</v>
      </c>
      <c r="B101" s="1" t="str">
        <f>"0890011"</f>
        <v>0890011</v>
      </c>
    </row>
    <row r="102">
      <c r="A102" s="1" t="s">
        <v>103</v>
      </c>
      <c r="B102" s="1" t="str">
        <f>"0900011"</f>
        <v>0900011</v>
      </c>
    </row>
    <row r="103">
      <c r="A103" s="1" t="s">
        <v>104</v>
      </c>
      <c r="B103" s="1" t="str">
        <f>"0910011"</f>
        <v>0910011</v>
      </c>
    </row>
    <row r="104">
      <c r="A104" s="1" t="s">
        <v>105</v>
      </c>
      <c r="B104" s="1" t="str">
        <f>"0920011"</f>
        <v>0920011</v>
      </c>
    </row>
    <row r="105">
      <c r="A105" s="1" t="s">
        <v>106</v>
      </c>
      <c r="B105" s="1" t="str">
        <f>"0930011"</f>
        <v>0930011</v>
      </c>
    </row>
    <row r="106">
      <c r="A106" s="1" t="s">
        <v>107</v>
      </c>
      <c r="B106" s="1" t="str">
        <f>"0950011"</f>
        <v>0950011</v>
      </c>
    </row>
    <row r="107">
      <c r="A107" s="1" t="s">
        <v>108</v>
      </c>
      <c r="B107" s="1" t="str">
        <f>"0960011"</f>
        <v>0960011</v>
      </c>
    </row>
    <row r="108">
      <c r="A108" s="1" t="s">
        <v>109</v>
      </c>
      <c r="B108" s="1" t="str">
        <f>"0940011"</f>
        <v>0940011</v>
      </c>
    </row>
    <row r="109">
      <c r="A109" s="1" t="s">
        <v>110</v>
      </c>
      <c r="B109" s="1" t="str">
        <f>"0970011"</f>
        <v>0970011</v>
      </c>
    </row>
    <row r="110">
      <c r="A110" s="1" t="s">
        <v>111</v>
      </c>
      <c r="B110" s="1" t="str">
        <f>"0980011"</f>
        <v>0980011</v>
      </c>
    </row>
    <row r="111">
      <c r="A111" s="1" t="s">
        <v>112</v>
      </c>
      <c r="B111" s="1" t="str">
        <f>"0990011"</f>
        <v>0990011</v>
      </c>
    </row>
    <row r="112">
      <c r="A112" s="1" t="s">
        <v>113</v>
      </c>
      <c r="B112" s="1" t="str">
        <f>"1000011"</f>
        <v>1000011</v>
      </c>
    </row>
    <row r="113">
      <c r="A113" s="1" t="s">
        <v>114</v>
      </c>
      <c r="B113" s="1" t="str">
        <f>"1010011"</f>
        <v>1010011</v>
      </c>
    </row>
    <row r="114">
      <c r="A114" s="1" t="s">
        <v>115</v>
      </c>
      <c r="B114" s="1" t="str">
        <f>"1020011"</f>
        <v>1020011</v>
      </c>
    </row>
    <row r="115">
      <c r="A115" s="1" t="s">
        <v>116</v>
      </c>
      <c r="B115" s="1" t="str">
        <f>"1030011"</f>
        <v>1030011</v>
      </c>
    </row>
    <row r="116">
      <c r="A116" s="1" t="s">
        <v>117</v>
      </c>
      <c r="B116" s="1" t="str">
        <f>"9010022"</f>
        <v>9010022</v>
      </c>
    </row>
    <row r="117">
      <c r="A117" s="1" t="s">
        <v>118</v>
      </c>
      <c r="B117" s="1" t="str">
        <f>"1040011"</f>
        <v>1040011</v>
      </c>
    </row>
    <row r="118">
      <c r="A118" s="1" t="s">
        <v>119</v>
      </c>
      <c r="B118" s="1" t="str">
        <f>"2630013"</f>
        <v>2630013</v>
      </c>
    </row>
    <row r="119">
      <c r="A119" s="1" t="s">
        <v>120</v>
      </c>
      <c r="B119" s="1" t="str">
        <f>"1060011"</f>
        <v>1060011</v>
      </c>
    </row>
    <row r="120">
      <c r="A120" s="1" t="s">
        <v>121</v>
      </c>
      <c r="B120" s="1" t="str">
        <f>"1070011"</f>
        <v>1070011</v>
      </c>
    </row>
    <row r="121">
      <c r="A121" s="1" t="s">
        <v>122</v>
      </c>
      <c r="B121" s="1" t="str">
        <f>"1080011"</f>
        <v>1080011</v>
      </c>
    </row>
    <row r="122">
      <c r="A122" s="1" t="s">
        <v>123</v>
      </c>
      <c r="B122" s="1" t="str">
        <f>"2830013"</f>
        <v>2830013</v>
      </c>
    </row>
    <row r="123">
      <c r="A123" s="1" t="s">
        <v>124</v>
      </c>
      <c r="B123" s="1" t="str">
        <f>"1090011"</f>
        <v>1090011</v>
      </c>
    </row>
    <row r="124">
      <c r="A124" s="1" t="s">
        <v>125</v>
      </c>
      <c r="B124" s="1" t="str">
        <f>"1100011"</f>
        <v>1100011</v>
      </c>
    </row>
    <row r="125">
      <c r="A125" s="1" t="s">
        <v>126</v>
      </c>
      <c r="B125" s="1" t="str">
        <f>"1110011"</f>
        <v>1110011</v>
      </c>
    </row>
    <row r="126">
      <c r="A126" s="1" t="s">
        <v>127</v>
      </c>
      <c r="B126" s="1" t="str">
        <f>"1120011"</f>
        <v>1120011</v>
      </c>
    </row>
    <row r="127">
      <c r="A127" s="1" t="s">
        <v>128</v>
      </c>
      <c r="B127" s="1" t="str">
        <f>"1130011"</f>
        <v>1130011</v>
      </c>
    </row>
    <row r="128">
      <c r="A128" s="1" t="s">
        <v>129</v>
      </c>
      <c r="B128" s="1" t="str">
        <f>"1140011"</f>
        <v>1140011</v>
      </c>
    </row>
    <row r="129">
      <c r="A129" s="1" t="s">
        <v>130</v>
      </c>
      <c r="B129" s="1" t="str">
        <f>"1160011"</f>
        <v>1160011</v>
      </c>
    </row>
    <row r="130">
      <c r="A130" s="1" t="s">
        <v>131</v>
      </c>
      <c r="B130" s="1" t="str">
        <f>"1170011"</f>
        <v>1170011</v>
      </c>
    </row>
    <row r="131">
      <c r="A131" s="1" t="s">
        <v>132</v>
      </c>
      <c r="B131" s="1" t="str">
        <f>"2010012"</f>
        <v>2010012</v>
      </c>
    </row>
    <row r="132">
      <c r="A132" s="1" t="s">
        <v>133</v>
      </c>
      <c r="B132" s="1" t="str">
        <f>"2040012"</f>
        <v>2040012</v>
      </c>
    </row>
    <row r="133">
      <c r="A133" s="1" t="s">
        <v>134</v>
      </c>
      <c r="B133" s="1" t="str">
        <f>"2050012"</f>
        <v>2050012</v>
      </c>
    </row>
    <row r="134">
      <c r="A134" s="1" t="s">
        <v>135</v>
      </c>
      <c r="B134" s="1" t="str">
        <f>"2070012"</f>
        <v>2070012</v>
      </c>
    </row>
    <row r="135">
      <c r="A135" s="1" t="s">
        <v>136</v>
      </c>
      <c r="B135" s="1" t="str">
        <f>"2080012"</f>
        <v>2080012</v>
      </c>
    </row>
    <row r="136">
      <c r="A136" s="1" t="s">
        <v>137</v>
      </c>
      <c r="B136" s="1" t="str">
        <f>"2090012"</f>
        <v>2090012</v>
      </c>
    </row>
    <row r="137">
      <c r="A137" s="1" t="s">
        <v>138</v>
      </c>
      <c r="B137" s="1" t="str">
        <f>"2100012"</f>
        <v>2100012</v>
      </c>
    </row>
    <row r="138">
      <c r="A138" s="1" t="s">
        <v>139</v>
      </c>
      <c r="B138" s="1" t="str">
        <f>"2110012"</f>
        <v>2110012</v>
      </c>
    </row>
    <row r="139">
      <c r="A139" s="1" t="s">
        <v>140</v>
      </c>
      <c r="B139" s="1" t="str">
        <f>"2120012"</f>
        <v>2120012</v>
      </c>
    </row>
    <row r="140">
      <c r="A140" s="1" t="s">
        <v>141</v>
      </c>
      <c r="B140" s="1" t="str">
        <f>"2130012"</f>
        <v>2130012</v>
      </c>
    </row>
    <row r="141">
      <c r="A141" s="1" t="s">
        <v>142</v>
      </c>
      <c r="B141" s="1" t="str">
        <f>"2140012"</f>
        <v>2140012</v>
      </c>
    </row>
    <row r="142">
      <c r="A142" s="1" t="s">
        <v>143</v>
      </c>
      <c r="B142" s="1" t="str">
        <f>"2150012"</f>
        <v>2150012</v>
      </c>
    </row>
    <row r="143">
      <c r="A143" s="1" t="s">
        <v>144</v>
      </c>
      <c r="B143" s="1" t="str">
        <f>"2160012"</f>
        <v>2160012</v>
      </c>
    </row>
    <row r="144">
      <c r="A144" s="1" t="s">
        <v>145</v>
      </c>
      <c r="B144" s="1" t="str">
        <f>"2170012"</f>
        <v>2170012</v>
      </c>
    </row>
    <row r="145">
      <c r="A145" s="1" t="s">
        <v>146</v>
      </c>
      <c r="B145" s="1" t="str">
        <f>"2180012"</f>
        <v>2180012</v>
      </c>
    </row>
    <row r="146">
      <c r="A146" s="1" t="s">
        <v>147</v>
      </c>
      <c r="B146" s="1" t="str">
        <f>"2190012"</f>
        <v>2190012</v>
      </c>
    </row>
    <row r="147">
      <c r="A147" s="1" t="s">
        <v>148</v>
      </c>
      <c r="B147" s="1" t="str">
        <f>"2200012"</f>
        <v>2200012</v>
      </c>
    </row>
    <row r="148">
      <c r="A148" s="1" t="s">
        <v>149</v>
      </c>
      <c r="B148" s="1" t="str">
        <f>"1180011"</f>
        <v>1180011</v>
      </c>
    </row>
    <row r="149">
      <c r="A149" s="1" t="s">
        <v>150</v>
      </c>
      <c r="B149" s="1" t="str">
        <f>"1190011"</f>
        <v>1190011</v>
      </c>
    </row>
    <row r="150">
      <c r="A150" s="1" t="s">
        <v>151</v>
      </c>
      <c r="B150" s="1" t="str">
        <f>"1210011"</f>
        <v>1210011</v>
      </c>
    </row>
    <row r="151">
      <c r="A151" s="1" t="s">
        <v>152</v>
      </c>
      <c r="B151" s="1" t="str">
        <f>"1220011"</f>
        <v>1220011</v>
      </c>
    </row>
    <row r="152">
      <c r="A152" s="1" t="s">
        <v>153</v>
      </c>
      <c r="B152" s="1" t="str">
        <f>"1230011"</f>
        <v>1230011</v>
      </c>
    </row>
    <row r="153">
      <c r="A153" s="1" t="s">
        <v>154</v>
      </c>
      <c r="B153" s="1" t="str">
        <f>"1240011"</f>
        <v>1240011</v>
      </c>
    </row>
    <row r="154">
      <c r="A154" s="1" t="s">
        <v>155</v>
      </c>
      <c r="B154" s="1" t="str">
        <f>"1250011"</f>
        <v>1250011</v>
      </c>
    </row>
    <row r="155">
      <c r="A155" s="1" t="s">
        <v>156</v>
      </c>
      <c r="B155" s="1" t="str">
        <f>"1260011"</f>
        <v>1260011</v>
      </c>
    </row>
    <row r="156">
      <c r="A156" s="1" t="s">
        <v>157</v>
      </c>
      <c r="B156" s="1" t="str">
        <f>"1270011"</f>
        <v>1270011</v>
      </c>
    </row>
    <row r="157">
      <c r="A157" s="1" t="s">
        <v>158</v>
      </c>
      <c r="B157" s="1" t="str">
        <f>"2700013"</f>
        <v>2700013</v>
      </c>
    </row>
    <row r="158">
      <c r="A158" s="1" t="s">
        <v>159</v>
      </c>
      <c r="B158" s="1" t="str">
        <f>"1280011"</f>
        <v>1280011</v>
      </c>
    </row>
    <row r="159">
      <c r="A159" s="1" t="s">
        <v>160</v>
      </c>
      <c r="B159" s="1" t="str">
        <f>"1290011"</f>
        <v>1290011</v>
      </c>
    </row>
    <row r="160">
      <c r="A160" s="1" t="s">
        <v>161</v>
      </c>
      <c r="B160" s="1" t="str">
        <f>"1320011"</f>
        <v>1320011</v>
      </c>
    </row>
    <row r="161">
      <c r="A161" s="1" t="s">
        <v>162</v>
      </c>
      <c r="B161" s="1" t="str">
        <f>"1310011"</f>
        <v>1310011</v>
      </c>
    </row>
    <row r="162">
      <c r="A162" s="1" t="s">
        <v>163</v>
      </c>
      <c r="B162" s="1" t="str">
        <f>"1330011"</f>
        <v>1330011</v>
      </c>
    </row>
    <row r="163">
      <c r="A163" s="1" t="s">
        <v>164</v>
      </c>
      <c r="B163" s="1" t="str">
        <f>"1340011"</f>
        <v>1340011</v>
      </c>
    </row>
    <row r="164">
      <c r="A164" s="1" t="s">
        <v>165</v>
      </c>
      <c r="B164" s="1" t="str">
        <f>"2960013"</f>
        <v>2960013</v>
      </c>
    </row>
    <row r="165">
      <c r="A165" s="1" t="s">
        <v>166</v>
      </c>
      <c r="B165" s="1" t="str">
        <f>"1350011"</f>
        <v>1350011</v>
      </c>
    </row>
    <row r="166">
      <c r="A166" s="1" t="s">
        <v>167</v>
      </c>
      <c r="B166" s="1" t="str">
        <f>"1360011"</f>
        <v>1360011</v>
      </c>
    </row>
    <row r="167">
      <c r="A167" s="1" t="s">
        <v>168</v>
      </c>
      <c r="B167" s="1" t="str">
        <f>"1370011"</f>
        <v>1370011</v>
      </c>
    </row>
    <row r="168">
      <c r="A168" s="1" t="s">
        <v>169</v>
      </c>
      <c r="B168" s="1" t="str">
        <f>"1380011"</f>
        <v>1380011</v>
      </c>
    </row>
    <row r="169">
      <c r="A169" s="1" t="s">
        <v>170</v>
      </c>
      <c r="B169" s="1" t="str">
        <f>"1390011"</f>
        <v>1390011</v>
      </c>
    </row>
    <row r="170">
      <c r="A170" s="1" t="s">
        <v>171</v>
      </c>
      <c r="B170" s="1" t="str">
        <f>"2690013"</f>
        <v>2690013</v>
      </c>
    </row>
    <row r="171">
      <c r="A171" s="1" t="s">
        <v>172</v>
      </c>
      <c r="B171" s="1" t="str">
        <f>"9020022"</f>
        <v>9020022</v>
      </c>
    </row>
    <row r="172">
      <c r="A172" s="1" t="s">
        <v>173</v>
      </c>
      <c r="B172" s="1" t="str">
        <f>"9030022"</f>
        <v>9030022</v>
      </c>
    </row>
    <row r="173">
      <c r="A173" s="1" t="s">
        <v>174</v>
      </c>
      <c r="B173" s="1" t="str">
        <f>"1400011"</f>
        <v>1400011</v>
      </c>
    </row>
    <row r="174">
      <c r="A174" s="1" t="s">
        <v>175</v>
      </c>
      <c r="B174" s="1" t="str">
        <f>"1410011"</f>
        <v>1410011</v>
      </c>
    </row>
    <row r="175">
      <c r="A175" s="1" t="s">
        <v>176</v>
      </c>
      <c r="B175" s="1" t="str">
        <f>"1420011"</f>
        <v>1420011</v>
      </c>
    </row>
    <row r="176">
      <c r="A176" s="1" t="s">
        <v>177</v>
      </c>
      <c r="B176" s="1" t="str">
        <f>"1430011"</f>
        <v>1430011</v>
      </c>
    </row>
    <row r="177">
      <c r="A177" s="1" t="s">
        <v>178</v>
      </c>
      <c r="B177" s="1" t="str">
        <f>"1440011"</f>
        <v>1440011</v>
      </c>
    </row>
    <row r="178">
      <c r="A178" s="1" t="s">
        <v>179</v>
      </c>
      <c r="B178" s="1" t="str">
        <f>"3360015"</f>
        <v>3360015</v>
      </c>
    </row>
    <row r="179">
      <c r="A179" s="1" t="s">
        <v>180</v>
      </c>
      <c r="B179" s="1" t="str">
        <f>"3470015"</f>
        <v>3470015</v>
      </c>
    </row>
    <row r="180">
      <c r="A180" s="1" t="s">
        <v>181</v>
      </c>
      <c r="B180" s="1" t="str">
        <f>"1450011"</f>
        <v>1450011</v>
      </c>
    </row>
    <row r="181">
      <c r="A181" s="1" t="s">
        <v>182</v>
      </c>
      <c r="B181" s="1" t="str">
        <f>"1460011"</f>
        <v>1460011</v>
      </c>
    </row>
    <row r="182">
      <c r="A182" s="1" t="s">
        <v>183</v>
      </c>
      <c r="B182" s="1" t="str">
        <f>"1470011"</f>
        <v>1470011</v>
      </c>
    </row>
    <row r="183">
      <c r="A183" s="1" t="s">
        <v>184</v>
      </c>
      <c r="B183" s="1" t="str">
        <f>"1480011"</f>
        <v>1480011</v>
      </c>
    </row>
    <row r="184">
      <c r="A184" s="1" t="s">
        <v>185</v>
      </c>
      <c r="B184" s="1" t="str">
        <f>"1510011"</f>
        <v>1510011</v>
      </c>
    </row>
    <row r="185">
      <c r="A185" s="1" t="s">
        <v>186</v>
      </c>
      <c r="B185" s="1" t="str">
        <f>"1520011"</f>
        <v>1520011</v>
      </c>
    </row>
    <row r="186">
      <c r="A186" s="1" t="s">
        <v>187</v>
      </c>
      <c r="B186" s="1" t="str">
        <f>"1530011"</f>
        <v>1530011</v>
      </c>
    </row>
    <row r="187">
      <c r="A187" s="1" t="s">
        <v>188</v>
      </c>
      <c r="B187" s="1" t="str">
        <f>"1550011"</f>
        <v>1550011</v>
      </c>
    </row>
    <row r="188">
      <c r="A188" s="1" t="s">
        <v>189</v>
      </c>
      <c r="B188" s="1" t="str">
        <f>"1560011"</f>
        <v>1560011</v>
      </c>
    </row>
    <row r="189">
      <c r="A189" s="1" t="s">
        <v>190</v>
      </c>
      <c r="B189" s="1" t="str">
        <f>"1540011"</f>
        <v>1540011</v>
      </c>
    </row>
    <row r="190">
      <c r="A190" s="1" t="s">
        <v>191</v>
      </c>
      <c r="B190" s="1" t="str">
        <f>"1570011"</f>
        <v>1570011</v>
      </c>
    </row>
    <row r="191">
      <c r="A191" s="1" t="s">
        <v>192</v>
      </c>
      <c r="B191" s="1" t="str">
        <f>"1580011"</f>
        <v>1580011</v>
      </c>
    </row>
    <row r="192">
      <c r="A192" s="1" t="s">
        <v>193</v>
      </c>
      <c r="B192" s="1" t="str">
        <f>"1590011"</f>
        <v>1590011</v>
      </c>
    </row>
    <row r="193">
      <c r="A193" s="1" t="s">
        <v>194</v>
      </c>
      <c r="B193" s="1" t="str">
        <f>"1600011"</f>
        <v>1600011</v>
      </c>
    </row>
    <row r="194">
      <c r="A194" s="1" t="s">
        <v>195</v>
      </c>
      <c r="B194" s="1" t="str">
        <f>"1610011"</f>
        <v>1610011</v>
      </c>
    </row>
    <row r="195">
      <c r="A195" s="1" t="s">
        <v>196</v>
      </c>
      <c r="B195" s="1" t="str">
        <f>"1620011"</f>
        <v>1620011</v>
      </c>
    </row>
    <row r="196">
      <c r="A196" s="1" t="s">
        <v>197</v>
      </c>
      <c r="B196" s="1" t="str">
        <f>"1630011"</f>
        <v>1630011</v>
      </c>
    </row>
    <row r="197">
      <c r="A197" s="1" t="s">
        <v>198</v>
      </c>
      <c r="B197" s="1" t="str">
        <f>"1650011"</f>
        <v>1650011</v>
      </c>
    </row>
    <row r="198">
      <c r="A198" s="1" t="s">
        <v>199</v>
      </c>
      <c r="B198" s="1" t="str">
        <f>"1640011"</f>
        <v>1640011</v>
      </c>
    </row>
    <row r="199">
      <c r="A199" s="1" t="s">
        <v>200</v>
      </c>
      <c r="B199" s="1" t="str">
        <f>"1660011"</f>
        <v>1660011</v>
      </c>
    </row>
    <row r="200">
      <c r="A200" s="1" t="s">
        <v>201</v>
      </c>
      <c r="B200" s="1" t="str">
        <f>"1670011"</f>
        <v>1670011</v>
      </c>
    </row>
    <row r="201">
      <c r="A201" s="1" t="s">
        <v>202</v>
      </c>
      <c r="B201" s="1" t="str">
        <f>"1690011"</f>
        <v>1690011</v>
      </c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</sheetData>
  <drawing r:id="rId1"/>
</worksheet>
</file>